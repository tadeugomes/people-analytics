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1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drawings/drawing1.xml" ContentType="application/vnd.openxmlformats-officedocument.drawing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40" windowWidth="29400" windowHeight="17140" tabRatio="600" firstSheet="0" activeTab="0" autoFilterDateGrouping="1"/>
  </bookViews>
  <sheets>
    <sheet xmlns:r="http://schemas.openxmlformats.org/officeDocument/2006/relationships" name="0_HOME" sheetId="1" state="visible" r:id="rId1"/>
    <sheet xmlns:r="http://schemas.openxmlformats.org/officeDocument/2006/relationships" name="DADOS_BRUTOS" sheetId="2" state="visible" r:id="rId2"/>
    <sheet xmlns:r="http://schemas.openxmlformats.org/officeDocument/2006/relationships" name="1_VISAO_GERAL" sheetId="3" state="visible" r:id="rId3"/>
    <sheet xmlns:r="http://schemas.openxmlformats.org/officeDocument/2006/relationships" name="2_TESTES_ESTATISTICOS" sheetId="4" state="visible" r:id="rId4"/>
    <sheet xmlns:r="http://schemas.openxmlformats.org/officeDocument/2006/relationships" name="3_INDICES_DIVERSIDADE" sheetId="5" state="visible" r:id="rId5"/>
    <sheet xmlns:r="http://schemas.openxmlformats.org/officeDocument/2006/relationships" name="3A_DIVERSIDADE_GENERO" sheetId="6" state="visible" r:id="rId6"/>
    <sheet xmlns:r="http://schemas.openxmlformats.org/officeDocument/2006/relationships" name="3B_RESUMO_DIVERSIDADE_GENERO" sheetId="7" state="visible" r:id="rId7"/>
    <sheet xmlns:r="http://schemas.openxmlformats.org/officeDocument/2006/relationships" name="3C_DIVERSIDADE_RACA" sheetId="8" state="visible" r:id="rId8"/>
    <sheet xmlns:r="http://schemas.openxmlformats.org/officeDocument/2006/relationships" name="3D_RESUMO_DIVERSIDADE_RACA" sheetId="9" state="visible" r:id="rId9"/>
    <sheet xmlns:r="http://schemas.openxmlformats.org/officeDocument/2006/relationships" name="4_TABELA_GÊNERO" sheetId="10" state="visible" r:id="rId10"/>
    <sheet xmlns:r="http://schemas.openxmlformats.org/officeDocument/2006/relationships" name="4_TABELA_CARGO" sheetId="11" state="visible" r:id="rId11"/>
    <sheet xmlns:r="http://schemas.openxmlformats.org/officeDocument/2006/relationships" name="4_TABELA_DEPARTAMENTO" sheetId="12" state="visible" r:id="rId12"/>
    <sheet xmlns:r="http://schemas.openxmlformats.org/officeDocument/2006/relationships" name="4_TABELA_INSTRUÇÃO" sheetId="13" state="visible" r:id="rId13"/>
    <sheet xmlns:r="http://schemas.openxmlformats.org/officeDocument/2006/relationships" name="4_TABELA_TIPO_CONTRATO" sheetId="14" state="visible" r:id="rId14"/>
    <sheet xmlns:r="http://schemas.openxmlformats.org/officeDocument/2006/relationships" name="4_TABELA_RACA" sheetId="15" state="visible" r:id="rId15"/>
    <sheet xmlns:r="http://schemas.openxmlformats.org/officeDocument/2006/relationships" name="4_TABELA_LIDER" sheetId="16" state="visible" r:id="rId16"/>
    <sheet xmlns:r="http://schemas.openxmlformats.org/officeDocument/2006/relationships" name="4_TABELA_FAIXA_ETARIA" sheetId="17" state="visible" r:id="rId17"/>
    <sheet xmlns:r="http://schemas.openxmlformats.org/officeDocument/2006/relationships" name="5_VISUALIZACOES" sheetId="18" state="visible" r:id="rId18"/>
    <sheet xmlns:r="http://schemas.openxmlformats.org/officeDocument/2006/relationships" name="AJUDA_GLOSSARIO" sheetId="19" state="visible" r:id="rId19"/>
    <sheet xmlns:r="http://schemas.openxmlformats.org/officeDocument/2006/relationships" name="LISTAS" sheetId="20" state="visible" r:id="rId20"/>
    <sheet xmlns:r="http://schemas.openxmlformats.org/officeDocument/2006/relationships" name="3A_XL_GENERO_Cargo" sheetId="21" state="visible" r:id="rId21"/>
    <sheet xmlns:r="http://schemas.openxmlformats.org/officeDocument/2006/relationships" name="3C_XL_RACA_Cargo" sheetId="22" state="visible" r:id="rId22"/>
    <sheet xmlns:r="http://schemas.openxmlformats.org/officeDocument/2006/relationships" name="3A_XL_GENERO_Departamento" sheetId="23" state="visible" r:id="rId23"/>
    <sheet xmlns:r="http://schemas.openxmlformats.org/officeDocument/2006/relationships" name="3C_XL_RACA_Departamento" sheetId="24" state="visible" r:id="rId24"/>
    <sheet xmlns:r="http://schemas.openxmlformats.org/officeDocument/2006/relationships" name="3A_XL_GENERO_Instrução" sheetId="25" state="visible" r:id="rId25"/>
    <sheet xmlns:r="http://schemas.openxmlformats.org/officeDocument/2006/relationships" name="3C_XL_RACA_Instrução" sheetId="26" state="visible" r:id="rId26"/>
    <sheet xmlns:r="http://schemas.openxmlformats.org/officeDocument/2006/relationships" name="3A_XL_GENERO_Tipo_Contrato" sheetId="27" state="visible" r:id="rId27"/>
    <sheet xmlns:r="http://schemas.openxmlformats.org/officeDocument/2006/relationships" name="3C_XL_RACA_Tipo_Contrato" sheetId="28" state="visible" r:id="rId28"/>
    <sheet xmlns:r="http://schemas.openxmlformats.org/officeDocument/2006/relationships" name="3A_XL_GENERO_lider" sheetId="29" state="visible" r:id="rId29"/>
    <sheet xmlns:r="http://schemas.openxmlformats.org/officeDocument/2006/relationships" name="3C_XL_RACA_lider" sheetId="30" state="visible" r:id="rId30"/>
    <sheet xmlns:r="http://schemas.openxmlformats.org/officeDocument/2006/relationships" name="3B_XL_RESUMO_DIVERSIDADE_GENERO" sheetId="31" state="visible" r:id="rId31"/>
    <sheet xmlns:r="http://schemas.openxmlformats.org/officeDocument/2006/relationships" name="3D_XL_RESUMO_DIVERSIDADE_RACA" sheetId="32" state="visible" r:id="rId32"/>
    <sheet xmlns:r="http://schemas.openxmlformats.org/officeDocument/2006/relationships" name="5_XL_VISUALIZACOES" sheetId="33" state="visible" r:id="rId33"/>
  </sheets>
  <definedNames/>
  <calcPr calcId="0" fullCalcOnLoad="1"/>
</workbook>
</file>

<file path=xl/styles.xml><?xml version="1.0" encoding="utf-8"?>
<styleSheet xmlns="http://schemas.openxmlformats.org/spreadsheetml/2006/main">
  <numFmts count="2">
    <numFmt numFmtId="164" formatCode="0.0%"/>
    <numFmt numFmtId="165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sz val="11"/>
    </font>
    <font>
      <name val="Calibri"/>
      <family val="2"/>
      <b val="1"/>
      <color rgb="FFFFFFFF"/>
      <sz val="11"/>
    </font>
    <font>
      <name val="Calibri"/>
      <family val="2"/>
      <b val="1"/>
      <sz val="16"/>
    </font>
    <font>
      <name val="Calibri"/>
      <family val="2"/>
      <b val="1"/>
      <sz val="18"/>
    </font>
    <font>
      <name val="Calibri"/>
      <family val="2"/>
      <b val="1"/>
      <sz val="14"/>
    </font>
    <font>
      <name val="Calibri"/>
      <family val="2"/>
      <color theme="10"/>
      <sz val="12"/>
      <scheme val="minor"/>
    </font>
    <font>
      <name val="Calibri"/>
      <family val="2"/>
      <b val="1"/>
      <sz val="12"/>
    </font>
    <font>
      <name val="Calibri (Body)"/>
      <b val="1"/>
      <color theme="1"/>
      <sz val="12"/>
    </font>
    <font>
      <b val="1"/>
    </font>
    <font>
      <b val="1"/>
      <sz val="14"/>
    </font>
  </fonts>
  <fills count="6">
    <fill>
      <patternFill/>
    </fill>
    <fill>
      <patternFill patternType="gray125"/>
    </fill>
    <fill>
      <patternFill patternType="solid">
        <fgColor rgb="FF366092"/>
        <bgColor rgb="FF366092"/>
      </patternFill>
    </fill>
    <fill>
      <patternFill patternType="solid">
        <fgColor rgb="FFFFC7CE"/>
        <bgColor rgb="FFFFC7CE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/>
  </cellStyleXfs>
  <cellXfs count="19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3" fillId="0" borderId="0" pivotButton="0" quotePrefix="0" xfId="0"/>
    <xf numFmtId="0" fontId="1" fillId="0" borderId="0" pivotButton="0" quotePrefix="0" xfId="0"/>
    <xf numFmtId="164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top"/>
    </xf>
    <xf numFmtId="165" fontId="0" fillId="0" borderId="0" pivotButton="0" quotePrefix="0" xfId="0"/>
    <xf numFmtId="0" fontId="7" fillId="0" borderId="0" pivotButton="0" quotePrefix="0" xfId="1"/>
    <xf numFmtId="0" fontId="6" fillId="3" borderId="0" pivotButton="0" quotePrefix="0" xfId="1"/>
    <xf numFmtId="0" fontId="6" fillId="4" borderId="0" pivotButton="0" quotePrefix="0" xfId="1"/>
    <xf numFmtId="0" fontId="6" fillId="5" borderId="0" pivotButton="0" quotePrefix="0" xfId="1"/>
    <xf numFmtId="164" fontId="0" fillId="0" borderId="0" pivotButton="0" quotePrefix="0" xfId="0"/>
    <xf numFmtId="0" fontId="9" fillId="0" borderId="0" pivotButton="0" quotePrefix="0" xfId="0"/>
    <xf numFmtId="0" fontId="10" fillId="0" borderId="0" pivotButton="0" quotePrefix="0" xfId="0"/>
  </cellXfs>
  <cellStyles count="2">
    <cellStyle name="Normal" xfId="0" builtinId="0"/>
    <cellStyle name="Hyperlink" xfId="1" builtinId="8"/>
  </cellStyles>
  <dxfs count="22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00FFC7CE"/>
          <bgColor rgb="00FFC7CE"/>
        </patternFill>
      </fill>
    </dxf>
    <dxf>
      <fill>
        <patternFill patternType="solid">
          <fgColor rgb="00FFF2CC"/>
          <bgColor rgb="00FFF2CC"/>
        </patternFill>
      </fill>
    </dxf>
    <dxf>
      <fill>
        <patternFill patternType="solid">
          <fgColor rgb="00C6EFCE"/>
          <bgColor rgb="00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styles" Target="styles.xml" Id="rId34"/><Relationship Type="http://schemas.openxmlformats.org/officeDocument/2006/relationships/theme" Target="theme/theme1.xml" Id="rId35"/><Relationship Type="http://schemas.microsoft.com/office/2006/relationships/vbaProject" Target="vbaProject.bin" Id="rId3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Distribuição por Gênero</a:t>
            </a:r>
          </a:p>
        </rich>
      </tx>
      <overlay val="1"/>
    </title>
    <plotArea>
      <layout/>
      <barChart>
        <barDir val="col"/>
        <grouping val="clustered"/>
        <varyColors val="1"/>
        <ser>
          <idx val="0"/>
          <order val="0"/>
          <tx>
            <strRef>
              <f>'5_VISUALIZACOES'!$B$5</f>
              <strCache>
                <ptCount val="1"/>
                <pt idx="0">
                  <v>Frequência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1"/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1"/>
            <showVal val="1"/>
            <showCatName val="1"/>
            <showSerName val="1"/>
            <showPercent val="1"/>
            <showBubbleSize val="1"/>
            <showLeaderLines val="0"/>
          </dLbls>
          <cat>
            <strRef>
              <f>'5_VISUALIZACOES'!$A$6:$A$7</f>
              <strCache>
                <ptCount val="2"/>
                <pt idx="0">
                  <v>Masculino</v>
                </pt>
                <pt idx="1">
                  <v>Feminino</v>
                </pt>
              </strCache>
            </strRef>
          </cat>
          <val>
            <numRef>
              <f>'5_VISUALIZACOES'!$B$6:$B$7</f>
              <numCache>
                <formatCode>General</formatCode>
                <ptCount val="2"/>
                <pt idx="0">
                  <v>121</v>
                </pt>
                <pt idx="1">
                  <v>109</v>
                </pt>
              </numCache>
            </numRef>
          </val>
        </ser>
        <dLbls>
          <showLegendKey val="1"/>
          <showVal val="1"/>
          <showCatName val="1"/>
          <showSerName val="1"/>
          <showPercent val="1"/>
          <showBubbleSize val="1"/>
        </dLbls>
        <gapWidth val="150"/>
        <axId val="10"/>
        <axId val="100"/>
      </barChart>
      <catAx>
        <axId val="10"/>
        <scaling>
          <orientation val="minMax"/>
        </scaling>
        <delete val="1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Gênero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0"/>
        <crosses val="autoZero"/>
        <auto val="1"/>
        <lblAlgn val="ctr"/>
        <lblOffset val="100"/>
        <tickLblSkip val="1"/>
        <noMultiLvlLbl val="1"/>
      </catAx>
      <valAx>
        <axId val="100"/>
        <scaling>
          <orientation val="minMax"/>
        </scaling>
        <delete val="1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Quantidade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Distribuição por Cargo</a:t>
            </a:r>
          </a:p>
        </rich>
      </tx>
      <overlay val="1"/>
    </title>
    <plotArea>
      <layout/>
      <barChart>
        <barDir val="col"/>
        <grouping val="clustered"/>
        <varyColors val="1"/>
        <ser>
          <idx val="0"/>
          <order val="0"/>
          <tx>
            <strRef>
              <f>'5_VISUALIZACOES'!$B$19</f>
              <strCache>
                <ptCount val="1"/>
                <pt idx="0">
                  <v>Frequência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1"/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1"/>
            <showVal val="1"/>
            <showCatName val="1"/>
            <showSerName val="1"/>
            <showPercent val="1"/>
            <showBubbleSize val="1"/>
            <showLeaderLines val="0"/>
          </dLbls>
          <cat>
            <strRef>
              <f>'5_VISUALIZACOES'!$A$20:$A$24</f>
              <strCache>
                <ptCount val="5"/>
                <pt idx="0">
                  <v>Júnior</v>
                </pt>
                <pt idx="1">
                  <v>Pleno</v>
                </pt>
                <pt idx="2">
                  <v>Sênior</v>
                </pt>
                <pt idx="3">
                  <v>Gerente</v>
                </pt>
                <pt idx="4">
                  <v>Diretor</v>
                </pt>
              </strCache>
            </strRef>
          </cat>
          <val>
            <numRef>
              <f>'5_VISUALIZACOES'!$B$20:$B$24</f>
              <numCache>
                <formatCode>General</formatCode>
                <ptCount val="5"/>
                <pt idx="0">
                  <v>79</v>
                </pt>
                <pt idx="1">
                  <v>67</v>
                </pt>
                <pt idx="2">
                  <v>52</v>
                </pt>
                <pt idx="3">
                  <v>22</v>
                </pt>
                <pt idx="4">
                  <v>10</v>
                </pt>
              </numCache>
            </numRef>
          </val>
        </ser>
        <dLbls>
          <showLegendKey val="1"/>
          <showVal val="1"/>
          <showCatName val="1"/>
          <showSerName val="1"/>
          <showPercent val="1"/>
          <showBubbleSize val="1"/>
        </dLbls>
        <gapWidth val="150"/>
        <axId val="10"/>
        <axId val="100"/>
      </barChart>
      <catAx>
        <axId val="10"/>
        <scaling>
          <orientation val="minMax"/>
        </scaling>
        <delete val="1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Cargo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0"/>
        <crosses val="autoZero"/>
        <auto val="1"/>
        <lblAlgn val="ctr"/>
        <lblOffset val="100"/>
        <tickLblSkip val="1"/>
        <noMultiLvlLbl val="1"/>
      </catAx>
      <valAx>
        <axId val="100"/>
        <scaling>
          <orientation val="minMax"/>
        </scaling>
        <delete val="1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Quantidade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Distribuição por Departamento</a:t>
            </a:r>
          </a:p>
        </rich>
      </tx>
      <overlay val="1"/>
    </title>
    <plotArea>
      <layout/>
      <barChart>
        <barDir val="col"/>
        <grouping val="clustered"/>
        <varyColors val="1"/>
        <ser>
          <idx val="0"/>
          <order val="0"/>
          <tx>
            <strRef>
              <f>'5_VISUALIZACOES'!$B$36</f>
              <strCache>
                <ptCount val="1"/>
                <pt idx="0">
                  <v>Frequência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1"/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1"/>
            <showVal val="1"/>
            <showCatName val="1"/>
            <showSerName val="1"/>
            <showPercent val="1"/>
            <showBubbleSize val="1"/>
            <showLeaderLines val="0"/>
          </dLbls>
          <cat>
            <strRef>
              <f>'5_VISUALIZACOES'!$A$37:$A$40</f>
              <strCache>
                <ptCount val="4"/>
                <pt idx="0">
                  <v>Operações</v>
                </pt>
                <pt idx="1">
                  <v>TI</v>
                </pt>
                <pt idx="2">
                  <v>Comercial</v>
                </pt>
                <pt idx="3">
                  <v>RH</v>
                </pt>
              </strCache>
            </strRef>
          </cat>
          <val>
            <numRef>
              <f>'5_VISUALIZACOES'!$B$37:$B$40</f>
              <numCache>
                <formatCode>General</formatCode>
                <ptCount val="4"/>
                <pt idx="0">
                  <v>84</v>
                </pt>
                <pt idx="1">
                  <v>62</v>
                </pt>
                <pt idx="2">
                  <v>46</v>
                </pt>
                <pt idx="3">
                  <v>38</v>
                </pt>
              </numCache>
            </numRef>
          </val>
        </ser>
        <dLbls>
          <showLegendKey val="1"/>
          <showVal val="1"/>
          <showCatName val="1"/>
          <showSerName val="1"/>
          <showPercent val="1"/>
          <showBubbleSize val="1"/>
        </dLbls>
        <gapWidth val="150"/>
        <axId val="10"/>
        <axId val="100"/>
      </barChart>
      <catAx>
        <axId val="10"/>
        <scaling>
          <orientation val="minMax"/>
        </scaling>
        <delete val="1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Departamento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0"/>
        <crosses val="autoZero"/>
        <auto val="1"/>
        <lblAlgn val="ctr"/>
        <lblOffset val="100"/>
        <tickLblSkip val="1"/>
        <noMultiLvlLbl val="1"/>
      </catAx>
      <valAx>
        <axId val="100"/>
        <scaling>
          <orientation val="minMax"/>
        </scaling>
        <delete val="1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Quantidade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Distribuição por Nível de Instrução</a:t>
            </a:r>
          </a:p>
        </rich>
      </tx>
      <overlay val="1"/>
    </title>
    <plotArea>
      <layout/>
      <barChart>
        <barDir val="col"/>
        <grouping val="clustered"/>
        <varyColors val="1"/>
        <ser>
          <idx val="0"/>
          <order val="0"/>
          <tx>
            <strRef>
              <f>'5_VISUALIZACOES'!$B$52</f>
              <strCache>
                <ptCount val="1"/>
                <pt idx="0">
                  <v>Frequência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1"/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1"/>
            <showVal val="1"/>
            <showCatName val="1"/>
            <showSerName val="1"/>
            <showPercent val="1"/>
            <showBubbleSize val="1"/>
            <showLeaderLines val="0"/>
          </dLbls>
          <cat>
            <strRef>
              <f>'5_VISUALIZACOES'!$A$53:$A$55</f>
              <strCache>
                <ptCount val="3"/>
                <pt idx="0">
                  <v>Superior</v>
                </pt>
                <pt idx="1">
                  <v>Médio</v>
                </pt>
                <pt idx="2">
                  <v>Pós-graduação</v>
                </pt>
              </strCache>
            </strRef>
          </cat>
          <val>
            <numRef>
              <f>'5_VISUALIZACOES'!$B$53:$B$55</f>
              <numCache>
                <formatCode>General</formatCode>
                <ptCount val="3"/>
                <pt idx="0">
                  <v>99</v>
                </pt>
                <pt idx="1">
                  <v>82</v>
                </pt>
                <pt idx="2">
                  <v>49</v>
                </pt>
              </numCache>
            </numRef>
          </val>
        </ser>
        <dLbls>
          <showLegendKey val="1"/>
          <showVal val="1"/>
          <showCatName val="1"/>
          <showSerName val="1"/>
          <showPercent val="1"/>
          <showBubbleSize val="1"/>
        </dLbls>
        <gapWidth val="150"/>
        <axId val="10"/>
        <axId val="100"/>
      </barChart>
      <catAx>
        <axId val="10"/>
        <scaling>
          <orientation val="minMax"/>
        </scaling>
        <delete val="1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Nível de Instrução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0"/>
        <crosses val="autoZero"/>
        <auto val="1"/>
        <lblAlgn val="ctr"/>
        <lblOffset val="100"/>
        <tickLblSkip val="1"/>
        <noMultiLvlLbl val="1"/>
      </catAx>
      <valAx>
        <axId val="100"/>
        <scaling>
          <orientation val="minMax"/>
        </scaling>
        <delete val="1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Quantidade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Distribuição por Tipo de Contrato</a:t>
            </a:r>
          </a:p>
        </rich>
      </tx>
      <overlay val="1"/>
    </title>
    <plotArea>
      <layout/>
      <barChart>
        <barDir val="col"/>
        <grouping val="clustered"/>
        <varyColors val="1"/>
        <ser>
          <idx val="0"/>
          <order val="0"/>
          <tx>
            <strRef>
              <f>'5_VISUALIZACOES'!$B$67</f>
              <strCache>
                <ptCount val="1"/>
                <pt idx="0">
                  <v>Frequência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1"/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1"/>
            <showVal val="1"/>
            <showCatName val="1"/>
            <showSerName val="1"/>
            <showPercent val="1"/>
            <showBubbleSize val="1"/>
            <showLeaderLines val="0"/>
          </dLbls>
          <cat>
            <strRef>
              <f>'5_VISUALIZACOES'!$A$68:$A$70</f>
              <strCache>
                <ptCount val="3"/>
                <pt idx="0">
                  <v>Efetivo</v>
                </pt>
                <pt idx="1">
                  <v>Temporário</v>
                </pt>
                <pt idx="2">
                  <v>Terceirizado</v>
                </pt>
              </strCache>
            </strRef>
          </cat>
          <val>
            <numRef>
              <f>'5_VISUALIZACOES'!$B$68:$B$70</f>
              <numCache>
                <formatCode>General</formatCode>
                <ptCount val="3"/>
                <pt idx="0">
                  <v>165</v>
                </pt>
                <pt idx="1">
                  <v>39</v>
                </pt>
                <pt idx="2">
                  <v>26</v>
                </pt>
              </numCache>
            </numRef>
          </val>
        </ser>
        <dLbls>
          <showLegendKey val="1"/>
          <showVal val="1"/>
          <showCatName val="1"/>
          <showSerName val="1"/>
          <showPercent val="1"/>
          <showBubbleSize val="1"/>
        </dLbls>
        <gapWidth val="150"/>
        <axId val="10"/>
        <axId val="100"/>
      </barChart>
      <catAx>
        <axId val="10"/>
        <scaling>
          <orientation val="minMax"/>
        </scaling>
        <delete val="1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Tipo de Contrato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0"/>
        <crosses val="autoZero"/>
        <auto val="1"/>
        <lblAlgn val="ctr"/>
        <lblOffset val="100"/>
        <tickLblSkip val="1"/>
        <noMultiLvlLbl val="1"/>
      </catAx>
      <valAx>
        <axId val="100"/>
        <scaling>
          <orientation val="minMax"/>
        </scaling>
        <delete val="1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Quantidade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Distribuição de raca</a:t>
            </a:r>
          </a:p>
        </rich>
      </tx>
      <overlay val="1"/>
    </title>
    <plotArea>
      <layout/>
      <barChart>
        <barDir val="col"/>
        <grouping val="clustered"/>
        <varyColors val="1"/>
        <ser>
          <idx val="0"/>
          <order val="0"/>
          <tx>
            <strRef>
              <f>'5_VISUALIZACOES'!$B$82</f>
              <strCache>
                <ptCount val="1"/>
                <pt idx="0">
                  <v>Frequência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1"/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1"/>
            <showVal val="1"/>
            <showCatName val="1"/>
            <showSerName val="1"/>
            <showPercent val="1"/>
            <showBubbleSize val="1"/>
            <showLeaderLines val="0"/>
          </dLbls>
          <cat>
            <strRef>
              <f>'5_VISUALIZACOES'!$A$83:$A$86</f>
              <strCache>
                <ptCount val="4"/>
                <pt idx="0">
                  <v>Parda</v>
                </pt>
                <pt idx="1">
                  <v>Branca</v>
                </pt>
                <pt idx="2">
                  <v>Preta</v>
                </pt>
                <pt idx="3">
                  <v>Amarela</v>
                </pt>
              </strCache>
            </strRef>
          </cat>
          <val>
            <numRef>
              <f>'5_VISUALIZACOES'!$B$83:$B$86</f>
              <numCache>
                <formatCode>General</formatCode>
                <ptCount val="4"/>
                <pt idx="0">
                  <v>105</v>
                </pt>
                <pt idx="1">
                  <v>95</v>
                </pt>
                <pt idx="2">
                  <v>29</v>
                </pt>
                <pt idx="3">
                  <v>1</v>
                </pt>
              </numCache>
            </numRef>
          </val>
        </ser>
        <dLbls>
          <showLegendKey val="1"/>
          <showVal val="1"/>
          <showCatName val="1"/>
          <showSerName val="1"/>
          <showPercent val="1"/>
          <showBubbleSize val="1"/>
        </dLbls>
        <gapWidth val="150"/>
        <axId val="10"/>
        <axId val="100"/>
      </barChart>
      <catAx>
        <axId val="10"/>
        <scaling>
          <orientation val="minMax"/>
        </scaling>
        <delete val="1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raca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0"/>
        <crosses val="autoZero"/>
        <auto val="1"/>
        <lblAlgn val="ctr"/>
        <lblOffset val="100"/>
        <tickLblSkip val="1"/>
        <noMultiLvlLbl val="1"/>
      </catAx>
      <valAx>
        <axId val="100"/>
        <scaling>
          <orientation val="minMax"/>
        </scaling>
        <delete val="1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Quantidade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Distribuição de lider</a:t>
            </a:r>
          </a:p>
        </rich>
      </tx>
      <overlay val="1"/>
    </title>
    <plotArea>
      <layout/>
      <barChart>
        <barDir val="col"/>
        <grouping val="clustered"/>
        <varyColors val="1"/>
        <ser>
          <idx val="0"/>
          <order val="0"/>
          <tx>
            <strRef>
              <f>'5_VISUALIZACOES'!$B$98</f>
              <strCache>
                <ptCount val="1"/>
                <pt idx="0">
                  <v>Frequência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1"/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1"/>
            <showVal val="1"/>
            <showCatName val="1"/>
            <showSerName val="1"/>
            <showPercent val="1"/>
            <showBubbleSize val="1"/>
            <showLeaderLines val="0"/>
          </dLbls>
          <cat>
            <strRef>
              <f>'5_VISUALIZACOES'!$A$99:$A$100</f>
              <strCache>
                <ptCount val="2"/>
                <pt idx="0">
                  <v>Sim</v>
                </pt>
                <pt idx="1">
                  <v>Não</v>
                </pt>
              </strCache>
            </strRef>
          </cat>
          <val>
            <numRef>
              <f>'5_VISUALIZACOES'!$B$99:$B$100</f>
              <numCache>
                <formatCode>General</formatCode>
                <ptCount val="2"/>
                <pt idx="0">
                  <v>115</v>
                </pt>
                <pt idx="1">
                  <v>115</v>
                </pt>
              </numCache>
            </numRef>
          </val>
        </ser>
        <dLbls>
          <showLegendKey val="1"/>
          <showVal val="1"/>
          <showCatName val="1"/>
          <showSerName val="1"/>
          <showPercent val="1"/>
          <showBubbleSize val="1"/>
        </dLbls>
        <gapWidth val="150"/>
        <axId val="10"/>
        <axId val="100"/>
      </barChart>
      <catAx>
        <axId val="10"/>
        <scaling>
          <orientation val="minMax"/>
        </scaling>
        <delete val="1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lider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0"/>
        <crosses val="autoZero"/>
        <auto val="1"/>
        <lblAlgn val="ctr"/>
        <lblOffset val="100"/>
        <tickLblSkip val="1"/>
        <noMultiLvlLbl val="1"/>
      </catAx>
      <valAx>
        <axId val="100"/>
        <scaling>
          <orientation val="minMax"/>
        </scaling>
        <delete val="1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Quantidade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Distribuição por Faixa Etária</a:t>
            </a:r>
          </a:p>
        </rich>
      </tx>
      <overlay val="1"/>
    </title>
    <plotArea>
      <layout/>
      <barChart>
        <barDir val="col"/>
        <grouping val="clustered"/>
        <varyColors val="1"/>
        <ser>
          <idx val="0"/>
          <order val="0"/>
          <tx>
            <strRef>
              <f>'5_VISUALIZACOES'!$B$112</f>
              <strCache>
                <ptCount val="1"/>
                <pt idx="0">
                  <v>Frequência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1"/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1"/>
            <showVal val="1"/>
            <showCatName val="1"/>
            <showSerName val="1"/>
            <showPercent val="1"/>
            <showBubbleSize val="1"/>
            <showLeaderLines val="0"/>
          </dLbls>
          <cat>
            <strRef>
              <f>'5_VISUALIZACOES'!$A$113:$A$118</f>
              <strCache>
                <ptCount val="6"/>
                <pt idx="0">
                  <v>35-44</v>
                </pt>
                <pt idx="1">
                  <v>55-64</v>
                </pt>
                <pt idx="2">
                  <v>45-54</v>
                </pt>
                <pt idx="3">
                  <v>25-34</v>
                </pt>
                <pt idx="4">
                  <v>18-24</v>
                </pt>
                <pt idx="5">
                  <v>65+</v>
                </pt>
              </strCache>
            </strRef>
          </cat>
          <val>
            <numRef>
              <f>'5_VISUALIZACOES'!$B$113:$B$118</f>
              <numCache>
                <formatCode>General</formatCode>
                <ptCount val="6"/>
                <pt idx="0">
                  <v>54</v>
                </pt>
                <pt idx="1">
                  <v>51</v>
                </pt>
                <pt idx="2">
                  <v>39</v>
                </pt>
                <pt idx="3">
                  <v>37</v>
                </pt>
                <pt idx="4">
                  <v>28</v>
                </pt>
                <pt idx="5">
                  <v>21</v>
                </pt>
              </numCache>
            </numRef>
          </val>
        </ser>
        <dLbls>
          <showLegendKey val="1"/>
          <showVal val="1"/>
          <showCatName val="1"/>
          <showSerName val="1"/>
          <showPercent val="1"/>
          <showBubbleSize val="1"/>
        </dLbls>
        <gapWidth val="150"/>
        <axId val="10"/>
        <axId val="100"/>
      </barChart>
      <catAx>
        <axId val="10"/>
        <scaling>
          <orientation val="minMax"/>
        </scaling>
        <delete val="1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Faixa Etária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0"/>
        <crosses val="autoZero"/>
        <auto val="1"/>
        <lblAlgn val="ctr"/>
        <lblOffset val="100"/>
        <tickLblSkip val="1"/>
        <noMultiLvlLbl val="1"/>
      </catAx>
      <valAx>
        <axId val="100"/>
        <scaling>
          <orientation val="minMax"/>
        </scaling>
        <delete val="1"/>
        <axPos val="l"/>
        <majorGridlines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rPr lang="en-US"/>
                  <a:t>Quantidade</a:t>
                </a:r>
              </a:p>
            </rich>
          </tx>
          <overlay val="1"/>
        </title>
        <numFmt formatCode="General" sourceLinked="1"/>
        <majorTickMark val="none"/>
        <minorTickMark val="none"/>
        <tickLblPos val="nextTo"/>
        <crossAx val="10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Índice de Simpson (Gênero) — Cargo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'3A_XL_GENERO_Cargo'!C1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'3A_XL_GENERO_Cargo'!$A$2:$A$200</f>
            </numRef>
          </cat>
          <val>
            <numRef>
              <f>'3A_XL_GENERO_Cargo'!$C$2:$C$200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Categoria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Índice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Índice de Simpson (Raça) — Cargo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'3C_XL_RACA_Cargo'!C1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'3C_XL_RACA_Cargo'!$A$2:$A$200</f>
            </numRef>
          </cat>
          <val>
            <numRef>
              <f>'3C_XL_RACA_Cargo'!$C$2:$C$200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Categoria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Índice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Índice de Simpson (Gênero) — Departamento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'3A_XL_GENERO_Departamento'!C1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'3A_XL_GENERO_Departamento'!$A$2:$A$200</f>
            </numRef>
          </cat>
          <val>
            <numRef>
              <f>'3A_XL_GENERO_Departamento'!$C$2:$C$200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Categoria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Índice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Índice de Simpson (Raça) — Departamento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'3C_XL_RACA_Departamento'!C1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'3C_XL_RACA_Departamento'!$A$2:$A$200</f>
            </numRef>
          </cat>
          <val>
            <numRef>
              <f>'3C_XL_RACA_Departamento'!$C$2:$C$200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Categoria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Índice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Índice de Simpson (Gênero) — Instrução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'3A_XL_GENERO_Instrução'!C1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'3A_XL_GENERO_Instrução'!$A$2:$A$200</f>
            </numRef>
          </cat>
          <val>
            <numRef>
              <f>'3A_XL_GENERO_Instrução'!$C$2:$C$200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Categoria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Índice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Índice de Simpson (Raça) — Instrução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'3C_XL_RACA_Instrução'!C1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'3C_XL_RACA_Instrução'!$A$2:$A$200</f>
            </numRef>
          </cat>
          <val>
            <numRef>
              <f>'3C_XL_RACA_Instrução'!$C$2:$C$200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Categoria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Índice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Índice de Simpson (Gênero) — Tipo_Contrato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'3A_XL_GENERO_Tipo_Contrato'!C1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'3A_XL_GENERO_Tipo_Contrato'!$A$2:$A$200</f>
            </numRef>
          </cat>
          <val>
            <numRef>
              <f>'3A_XL_GENERO_Tipo_Contrato'!$C$2:$C$200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Categoria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Índice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Índice de Simpson (Raça) — Tipo_Contrato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'3C_XL_RACA_Tipo_Contrato'!C1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'3C_XL_RACA_Tipo_Contrato'!$A$2:$A$200</f>
            </numRef>
          </cat>
          <val>
            <numRef>
              <f>'3C_XL_RACA_Tipo_Contrato'!$C$2:$C$200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Categoria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Índice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Índice de Simpson (Gênero) — lider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'3A_XL_GENERO_lider'!C1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'3A_XL_GENERO_lider'!$A$2:$A$200</f>
            </numRef>
          </cat>
          <val>
            <numRef>
              <f>'3A_XL_GENERO_lider'!$C$2:$C$200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Categoria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Índice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Índice de Simpson (Raça) — lider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'3C_XL_RACA_lider'!C1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'3C_XL_RACA_lider'!$A$2:$A$200</f>
            </numRef>
          </cat>
          <val>
            <numRef>
              <f>'3C_XL_RACA_lider'!$C$2:$C$200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Categoria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Índice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omments/comment1.xml><?xml version="1.0" encoding="utf-8"?>
<comments xmlns="http://schemas.openxmlformats.org/spreadsheetml/2006/main">
  <authors>
    <author>Sistema</author>
  </authors>
  <commentList>
    <comment ref="B1" authorId="0" shapeId="0">
      <text>
        <t>1 - Σ p_i^2. Quanto mais próximo de 1, maior a diversidade (geral).</t>
      </text>
    </comment>
    <comment ref="C1" authorId="0" shapeId="0">
      <text>
        <t>-Σ p_i ln(p_i). Valores maiores indicam mais diversidade.</t>
      </text>
    </comment>
    <comment ref="D1" authorId="0" shapeId="0">
      <text>
        <t>Proporção da categoria mais frequente.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/Relationships>
</file>

<file path=xl/drawings/_rels/drawing2.xml.rels><Relationships xmlns="http://schemas.openxmlformats.org/package/2006/relationships"><Relationship Type="http://schemas.openxmlformats.org/officeDocument/2006/relationships/chart" Target="/xl/charts/chart9.xml" Id="rId1"/><Relationship Type="http://schemas.openxmlformats.org/officeDocument/2006/relationships/chart" Target="/xl/charts/chart10.xml" Id="rId2"/><Relationship Type="http://schemas.openxmlformats.org/officeDocument/2006/relationships/chart" Target="/xl/charts/chart11.xml" Id="rId3"/><Relationship Type="http://schemas.openxmlformats.org/officeDocument/2006/relationships/chart" Target="/xl/charts/chart12.xml" Id="rId4"/><Relationship Type="http://schemas.openxmlformats.org/officeDocument/2006/relationships/chart" Target="/xl/charts/chart13.xml" Id="rId5"/><Relationship Type="http://schemas.openxmlformats.org/officeDocument/2006/relationships/chart" Target="/xl/charts/chart14.xml" Id="rId6"/><Relationship Type="http://schemas.openxmlformats.org/officeDocument/2006/relationships/chart" Target="/xl/charts/chart15.xml" Id="rId7"/><Relationship Type="http://schemas.openxmlformats.org/officeDocument/2006/relationships/chart" Target="/xl/charts/chart16.xml" Id="rId8"/><Relationship Type="http://schemas.openxmlformats.org/officeDocument/2006/relationships/chart" Target="/xl/charts/chart17.xml" Id="rId9"/><Relationship Type="http://schemas.openxmlformats.org/officeDocument/2006/relationships/chart" Target="/xl/charts/chart18.xml" Id="rId10"/></Relationships>
</file>

<file path=xl/drawings/drawing1.xml><?xml version="1.0" encoding="utf-8"?>
<wsDr xmlns="http://schemas.openxmlformats.org/drawingml/2006/spreadsheetDrawing">
  <oneCellAnchor>
    <from>
      <col>4</col>
      <colOff>0</colOff>
      <row>4</row>
      <rowOff>0</rowOff>
    </from>
    <ext cx="432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4</col>
      <colOff>0</colOff>
      <row>18</row>
      <rowOff>0</rowOff>
    </from>
    <ext cx="4320000" cy="288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4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4</col>
      <colOff>0</colOff>
      <row>51</row>
      <rowOff>0</rowOff>
    </from>
    <ext cx="4320000" cy="288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4</col>
      <colOff>0</colOff>
      <row>66</row>
      <rowOff>0</rowOff>
    </from>
    <ext cx="4320000" cy="288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4</col>
      <colOff>0</colOff>
      <row>81</row>
      <rowOff>0</rowOff>
    </from>
    <ext cx="4320000" cy="288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4</col>
      <colOff>0</colOff>
      <row>97</row>
      <rowOff>0</rowOff>
    </from>
    <ext cx="4320000" cy="288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4</col>
      <colOff>0</colOff>
      <row>111</row>
      <rowOff>0</rowOff>
    </from>
    <ext cx="4320000" cy="288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3</row>
      <rowOff>0</rowOff>
    </from>
    <ext cx="864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25</row>
      <rowOff>0</rowOff>
    </from>
    <ext cx="864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47</row>
      <rowOff>0</rowOff>
    </from>
    <ext cx="864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0</col>
      <colOff>0</colOff>
      <row>69</row>
      <rowOff>0</rowOff>
    </from>
    <ext cx="864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0</col>
      <colOff>0</colOff>
      <row>91</row>
      <rowOff>0</rowOff>
    </from>
    <ext cx="864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0</col>
      <colOff>0</colOff>
      <row>113</row>
      <rowOff>0</rowOff>
    </from>
    <ext cx="864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0</col>
      <colOff>0</colOff>
      <row>135</row>
      <rowOff>0</rowOff>
    </from>
    <ext cx="864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0</col>
      <colOff>0</colOff>
      <row>157</row>
      <rowOff>0</rowOff>
    </from>
    <ext cx="864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0</col>
      <colOff>0</colOff>
      <row>179</row>
      <rowOff>0</rowOff>
    </from>
    <ext cx="864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0</col>
      <colOff>0</colOff>
      <row>201</row>
      <rowOff>0</rowOff>
    </from>
    <ext cx="864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_DADOS" displayName="TBL_DADOS" ref="A1:H231" headerRowCount="1">
  <autoFilter ref="A1:H231"/>
  <tableColumns count="8">
    <tableColumn id="1" name="Gênero"/>
    <tableColumn id="2" name="Cargo"/>
    <tableColumn id="3" name="Departamento"/>
    <tableColumn id="4" name="Instrução"/>
    <tableColumn id="5" name="Tipo_Contrato"/>
    <tableColumn id="6" name="raca"/>
    <tableColumn id="7" name="idade"/>
    <tableColumn id="8" name="lid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2.vml" Id="anysvml"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3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3">
    <outlinePr summaryBelow="1" summaryRight="1"/>
    <pageSetUpPr/>
  </sheetPr>
  <dimension ref="A1:C31"/>
  <sheetViews>
    <sheetView tabSelected="1" workbookViewId="0">
      <selection activeCell="C6" sqref="C6"/>
    </sheetView>
  </sheetViews>
  <sheetFormatPr baseColWidth="10" defaultColWidth="8.83203125" defaultRowHeight="15"/>
  <cols>
    <col width="50" customWidth="1" min="1" max="1"/>
    <col width="21" customWidth="1" min="2" max="2"/>
    <col width="50" customWidth="1" min="3" max="3"/>
  </cols>
  <sheetData>
    <row r="1" ht="24" customHeight="1">
      <c r="A1" s="2" t="inlineStr">
        <is>
          <t>Análise de Diversidade - Hub</t>
        </is>
      </c>
    </row>
    <row r="2">
      <c r="A2" t="inlineStr">
        <is>
          <t>Última atualização: 08/09/2025 20:39</t>
        </is>
      </c>
    </row>
    <row r="4" ht="19" customHeight="1">
      <c r="A4" s="3" t="inlineStr">
        <is>
          <t>Como usar</t>
        </is>
      </c>
    </row>
    <row r="5">
      <c r="A5" t="inlineStr">
        <is>
          <t>1. Atualize os dados na aba DADOS_BRUTOS (não apague cabeçalhos).</t>
        </is>
      </c>
    </row>
    <row r="6">
      <c r="A6" t="inlineStr">
        <is>
          <t>2. Execute o atualizador para regerar as análises.</t>
        </is>
      </c>
    </row>
    <row r="7">
      <c r="A7" t="inlineStr">
        <is>
          <t>3. Use os links abaixo para navegar entre os resultados.</t>
        </is>
      </c>
    </row>
    <row r="9" ht="19" customHeight="1">
      <c r="A9" s="3" t="inlineStr">
        <is>
          <t>Navegação rápida</t>
        </is>
      </c>
    </row>
    <row r="10" ht="16" customHeight="1">
      <c r="A10" s="4" t="inlineStr">
        <is>
          <t>Ir para DADOS_BRUTOS</t>
        </is>
      </c>
      <c r="C10" s="5" t="inlineStr">
        <is>
          <t>Dicas</t>
        </is>
      </c>
    </row>
    <row r="11" ht="16" customHeight="1">
      <c r="A11" s="4" t="inlineStr">
        <is>
          <t>Ir para 1_VISAO_GERAL</t>
        </is>
      </c>
      <c r="C11" t="inlineStr">
        <is>
          <t>- Use os filtros nas tabelas para explorar os dados.</t>
        </is>
      </c>
    </row>
    <row r="12" ht="16" customHeight="1">
      <c r="A12" s="4" t="inlineStr">
        <is>
          <t>Ir para 2_TESTES_ESTATISTICOS</t>
        </is>
      </c>
      <c r="C12" t="inlineStr">
        <is>
          <t>- Valores destacados indicam possíveis inconsistências (validação de dados).</t>
        </is>
      </c>
    </row>
    <row r="13" ht="16" customHeight="1">
      <c r="A13" s="4" t="inlineStr">
        <is>
          <t>Ir para 3_INDICES_DIVERSIDADE</t>
        </is>
      </c>
      <c r="C13" t="inlineStr">
        <is>
          <t>- Consulte AJUDA_GLOSSARIO para entender os indicadores.</t>
        </is>
      </c>
    </row>
    <row r="14" ht="16" customHeight="1">
      <c r="A14" s="4" t="inlineStr">
        <is>
          <t>Ir para 3A_DIVERSIDADE_GENERO</t>
        </is>
      </c>
    </row>
    <row r="15" ht="16" customHeight="1">
      <c r="A15" s="12" t="inlineStr">
        <is>
          <t>Legenda de cores (Índice de Simpson)</t>
        </is>
      </c>
    </row>
    <row r="16" ht="16" customHeight="1">
      <c r="A16" s="13" t="inlineStr">
        <is>
          <t>&lt; 0,6 = Baixa diversidade</t>
        </is>
      </c>
    </row>
    <row r="17" ht="16" customHeight="1">
      <c r="A17" s="14" t="inlineStr">
        <is>
          <t>0,6 – &lt;0,8 = Diversidade moderada</t>
        </is>
      </c>
    </row>
    <row r="18" ht="16" customHeight="1">
      <c r="A18" s="15" t="inlineStr">
        <is>
          <t>≥ 0,8 = Alta diversidade</t>
        </is>
      </c>
    </row>
    <row r="20">
      <c r="A20" s="8" t="inlineStr">
        <is>
          <t>Interpretação (resumo):</t>
        </is>
      </c>
    </row>
    <row r="21">
      <c r="A21" t="inlineStr">
        <is>
          <t>• Índice de Simpson mede equilíbrio entre grupos (0 a 1).</t>
        </is>
      </c>
    </row>
    <row r="22">
      <c r="A22" t="inlineStr">
        <is>
          <t>• Quanto mais próximo de 1, mais distribuída é a composição por grupo.</t>
        </is>
      </c>
    </row>
    <row r="23">
      <c r="A23" t="inlineStr">
        <is>
          <t>• Sinalização aplica-se a gênero e raça nas abas 3A/3B/3C/3D.</t>
        </is>
      </c>
    </row>
    <row r="26" ht="19" customHeight="1">
      <c r="A26" s="3" t="inlineStr">
        <is>
          <t>Painel Executivo</t>
        </is>
      </c>
    </row>
    <row r="27">
      <c r="A27" t="inlineStr">
        <is>
          <t>% Mulheres (total)</t>
        </is>
      </c>
      <c r="B27" s="16" t="n">
        <v>0.4739130434782609</v>
      </c>
    </row>
    <row r="28">
      <c r="A28" t="inlineStr">
        <is>
          <t>% Mulheres em liderança</t>
        </is>
      </c>
      <c r="B28" s="16" t="n">
        <v>0.53125</v>
      </c>
    </row>
    <row r="29">
      <c r="A29" t="inlineStr">
        <is>
          <t>% PPI (pretos/pardos)</t>
        </is>
      </c>
      <c r="B29" s="16" t="n">
        <v>0.5826086956521739</v>
      </c>
    </row>
    <row r="30">
      <c r="A30" t="inlineStr">
        <is>
          <t>Índice Simpson (Gênero)</t>
        </is>
      </c>
      <c r="B30" t="inlineStr">
        <is>
          <t>🔴</t>
        </is>
      </c>
      <c r="C30" s="11" t="n">
        <v>0.4986389413988659</v>
      </c>
    </row>
    <row r="31">
      <c r="A31" t="inlineStr">
        <is>
          <t>Índice Simpson (Raça)</t>
        </is>
      </c>
      <c r="B31" t="inlineStr">
        <is>
          <t>🟡</t>
        </is>
      </c>
      <c r="C31" s="11" t="n">
        <v>0.6050661625708885</v>
      </c>
    </row>
  </sheetData>
  <hyperlinks>
    <hyperlink ref="A10" location="'DADOS_BRUTOS'!A1" display="Ir para DADOS_BRUTOS"/>
    <hyperlink ref="A11" location="'1_VISAO_GERAL'!A1" display="Ir para 1_VISAO_GERAL"/>
    <hyperlink ref="A12" location="'2_TESTES_ESTATISTICOS'!A1" display="Ir para 2_TESTES_ESTATISTICOS"/>
    <hyperlink ref="A13" location="'3_INDICES_DIVERSIDADE'!A1" display="Ir para 3_INDICES_DIVERSIDADE"/>
    <hyperlink ref="A14" location="'3A_DIVERSIDADE_GENERO'!A1" display="Ir para 3A_DIVERSIDADE_GENERO"/>
    <hyperlink ref="A15" location="'3B_RESUMO_DIVERSIDADE_GENERO'!A1" display="Legenda de cores (Índice de Simpson)"/>
    <hyperlink ref="A16" location="'3C_DIVERSIDADE_RACA'!A1" display="&lt; 0,6 = Baixa diversidade"/>
    <hyperlink ref="A17" location="'3D_RESUMO_DIVERSIDADE_RACA'!A1" display="0,6 – &lt;0,8 = Diversidade moderada"/>
    <hyperlink ref="A18" location="'5_VISUALIZACOES'!A1" display="≥ 0,8 = Alta diversidade"/>
  </hyperlink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4">
    <outlinePr summaryBelow="1" summaryRight="1"/>
    <pageSetUpPr/>
  </sheetPr>
  <dimension ref="A1:H51"/>
  <sheetViews>
    <sheetView workbookViewId="0">
      <pane ySplit="1" topLeftCell="A2" activePane="bottomLeft" state="frozen"/>
      <selection pane="bottomLeft" activeCell="J19" sqref="J19"/>
    </sheetView>
  </sheetViews>
  <sheetFormatPr baseColWidth="10" defaultColWidth="8.83203125" defaultRowHeight="15"/>
  <sheetData>
    <row r="1">
      <c r="A1" s="10" t="inlineStr">
        <is>
          <t>Gênero</t>
        </is>
      </c>
      <c r="B1" s="10" t="inlineStr">
        <is>
          <t>Cargo</t>
        </is>
      </c>
      <c r="C1" s="10" t="inlineStr">
        <is>
          <t>Departamento</t>
        </is>
      </c>
      <c r="D1" s="10" t="inlineStr">
        <is>
          <t>Instrução</t>
        </is>
      </c>
      <c r="E1" s="10" t="inlineStr">
        <is>
          <t>Tipo_Contrato</t>
        </is>
      </c>
      <c r="F1" s="10" t="inlineStr">
        <is>
          <t>raca</t>
        </is>
      </c>
      <c r="G1" s="10" t="inlineStr">
        <is>
          <t>idade</t>
        </is>
      </c>
      <c r="H1" s="10" t="inlineStr">
        <is>
          <t>lider</t>
        </is>
      </c>
    </row>
    <row r="2">
      <c r="A2" t="inlineStr">
        <is>
          <t>Feminino</t>
        </is>
      </c>
      <c r="B2" t="inlineStr">
        <is>
          <t>Júnior</t>
        </is>
      </c>
      <c r="C2" t="inlineStr">
        <is>
          <t>Comercial</t>
        </is>
      </c>
      <c r="D2" t="inlineStr">
        <is>
          <t>Pós-graduação</t>
        </is>
      </c>
      <c r="E2" t="inlineStr">
        <is>
          <t>Efetivo</t>
        </is>
      </c>
      <c r="F2" t="inlineStr">
        <is>
          <t>Branca</t>
        </is>
      </c>
      <c r="G2" t="n">
        <v>24</v>
      </c>
      <c r="H2" t="inlineStr">
        <is>
          <t>Sim</t>
        </is>
      </c>
    </row>
    <row r="3">
      <c r="A3" t="inlineStr">
        <is>
          <t>Feminino</t>
        </is>
      </c>
      <c r="B3" t="inlineStr">
        <is>
          <t>Sênior</t>
        </is>
      </c>
      <c r="C3" t="inlineStr">
        <is>
          <t>RH</t>
        </is>
      </c>
      <c r="D3" t="inlineStr">
        <is>
          <t>Superior</t>
        </is>
      </c>
      <c r="E3" t="inlineStr">
        <is>
          <t>Efetivo</t>
        </is>
      </c>
      <c r="F3" t="inlineStr">
        <is>
          <t>Parda</t>
        </is>
      </c>
      <c r="G3" t="n">
        <v>62</v>
      </c>
      <c r="H3" t="inlineStr">
        <is>
          <t>Não</t>
        </is>
      </c>
    </row>
    <row r="4">
      <c r="A4" t="inlineStr">
        <is>
          <t>Masculino</t>
        </is>
      </c>
      <c r="B4" t="inlineStr">
        <is>
          <t>Júnior</t>
        </is>
      </c>
      <c r="C4" t="inlineStr">
        <is>
          <t>Comercial</t>
        </is>
      </c>
      <c r="D4" t="inlineStr">
        <is>
          <t>Médio</t>
        </is>
      </c>
      <c r="E4" t="inlineStr">
        <is>
          <t>Efetivo</t>
        </is>
      </c>
      <c r="F4" t="inlineStr">
        <is>
          <t>Parda</t>
        </is>
      </c>
      <c r="G4" t="n">
        <v>22</v>
      </c>
      <c r="H4" t="inlineStr">
        <is>
          <t>Sim</t>
        </is>
      </c>
    </row>
    <row r="5">
      <c r="A5" t="inlineStr">
        <is>
          <t>Masculino</t>
        </is>
      </c>
      <c r="B5" t="inlineStr">
        <is>
          <t>Sênior</t>
        </is>
      </c>
      <c r="C5" t="inlineStr">
        <is>
          <t>Operações</t>
        </is>
      </c>
      <c r="D5" t="inlineStr">
        <is>
          <t>Médio</t>
        </is>
      </c>
      <c r="E5" t="inlineStr">
        <is>
          <t>Efetivo</t>
        </is>
      </c>
      <c r="F5" t="inlineStr">
        <is>
          <t>Preta</t>
        </is>
      </c>
      <c r="G5" t="n">
        <v>59</v>
      </c>
      <c r="H5" t="inlineStr">
        <is>
          <t>Não</t>
        </is>
      </c>
    </row>
    <row r="6">
      <c r="A6" t="inlineStr">
        <is>
          <t>Feminino</t>
        </is>
      </c>
      <c r="B6" t="inlineStr">
        <is>
          <t>Gerente</t>
        </is>
      </c>
      <c r="C6" t="inlineStr">
        <is>
          <t>Operações</t>
        </is>
      </c>
      <c r="D6" t="inlineStr">
        <is>
          <t>Superior</t>
        </is>
      </c>
      <c r="E6" t="inlineStr">
        <is>
          <t>Efetivo</t>
        </is>
      </c>
      <c r="F6" t="inlineStr">
        <is>
          <t>Parda</t>
        </is>
      </c>
      <c r="G6" t="n">
        <v>52</v>
      </c>
      <c r="H6" t="inlineStr">
        <is>
          <t>Não</t>
        </is>
      </c>
    </row>
    <row r="7">
      <c r="A7" t="inlineStr">
        <is>
          <t>Feminino</t>
        </is>
      </c>
      <c r="B7" t="inlineStr">
        <is>
          <t>Júnior</t>
        </is>
      </c>
      <c r="C7" t="inlineStr">
        <is>
          <t>TI</t>
        </is>
      </c>
      <c r="D7" t="inlineStr">
        <is>
          <t>Pós-graduação</t>
        </is>
      </c>
      <c r="E7" t="inlineStr">
        <is>
          <t>Efetivo</t>
        </is>
      </c>
      <c r="F7" t="inlineStr">
        <is>
          <t>Parda</t>
        </is>
      </c>
      <c r="G7" t="n">
        <v>41</v>
      </c>
      <c r="H7" t="inlineStr">
        <is>
          <t>Sim</t>
        </is>
      </c>
    </row>
    <row r="8">
      <c r="A8" t="inlineStr">
        <is>
          <t>Feminino</t>
        </is>
      </c>
      <c r="B8" t="inlineStr">
        <is>
          <t>Júnior</t>
        </is>
      </c>
      <c r="C8" t="inlineStr">
        <is>
          <t>RH</t>
        </is>
      </c>
      <c r="D8" t="inlineStr">
        <is>
          <t>Pós-graduação</t>
        </is>
      </c>
      <c r="E8" t="inlineStr">
        <is>
          <t>Efetivo</t>
        </is>
      </c>
      <c r="F8" t="inlineStr">
        <is>
          <t>Branca</t>
        </is>
      </c>
      <c r="G8" t="n">
        <v>40</v>
      </c>
      <c r="H8" t="inlineStr">
        <is>
          <t>Sim</t>
        </is>
      </c>
    </row>
    <row r="9">
      <c r="A9" t="inlineStr">
        <is>
          <t>Feminino</t>
        </is>
      </c>
      <c r="B9" t="inlineStr">
        <is>
          <t>Júnior</t>
        </is>
      </c>
      <c r="C9" t="inlineStr">
        <is>
          <t>Operações</t>
        </is>
      </c>
      <c r="D9" t="inlineStr">
        <is>
          <t>Superior</t>
        </is>
      </c>
      <c r="E9" t="inlineStr">
        <is>
          <t>Terceirizado</t>
        </is>
      </c>
      <c r="F9" t="inlineStr">
        <is>
          <t>Parda</t>
        </is>
      </c>
      <c r="G9" t="n">
        <v>63</v>
      </c>
      <c r="H9" t="inlineStr">
        <is>
          <t>Não</t>
        </is>
      </c>
    </row>
    <row r="10">
      <c r="A10" t="inlineStr">
        <is>
          <t>Feminino</t>
        </is>
      </c>
      <c r="B10" t="inlineStr">
        <is>
          <t>Pleno</t>
        </is>
      </c>
      <c r="C10" t="inlineStr">
        <is>
          <t>TI</t>
        </is>
      </c>
      <c r="D10" t="inlineStr">
        <is>
          <t>Médio</t>
        </is>
      </c>
      <c r="E10" t="inlineStr">
        <is>
          <t>Efetivo</t>
        </is>
      </c>
      <c r="F10" t="inlineStr">
        <is>
          <t>Parda</t>
        </is>
      </c>
      <c r="G10" t="n">
        <v>22</v>
      </c>
      <c r="H10" t="inlineStr">
        <is>
          <t>Sim</t>
        </is>
      </c>
    </row>
    <row r="11">
      <c r="A11" t="inlineStr">
        <is>
          <t>Feminino</t>
        </is>
      </c>
      <c r="B11" t="inlineStr">
        <is>
          <t>Sênior</t>
        </is>
      </c>
      <c r="C11" t="inlineStr">
        <is>
          <t>Operações</t>
        </is>
      </c>
      <c r="D11" t="inlineStr">
        <is>
          <t>Superior</t>
        </is>
      </c>
      <c r="E11" t="inlineStr">
        <is>
          <t>Efetivo</t>
        </is>
      </c>
      <c r="F11" t="inlineStr">
        <is>
          <t>Parda</t>
        </is>
      </c>
      <c r="G11" t="n">
        <v>54</v>
      </c>
      <c r="H11" t="inlineStr">
        <is>
          <t>Não</t>
        </is>
      </c>
    </row>
    <row r="12">
      <c r="A12" t="inlineStr">
        <is>
          <t>Masculino</t>
        </is>
      </c>
      <c r="B12" t="inlineStr">
        <is>
          <t>Júnior</t>
        </is>
      </c>
      <c r="C12" t="inlineStr">
        <is>
          <t>TI</t>
        </is>
      </c>
      <c r="D12" t="inlineStr">
        <is>
          <t>Pós-graduação</t>
        </is>
      </c>
      <c r="E12" t="inlineStr">
        <is>
          <t>Temporário</t>
        </is>
      </c>
      <c r="F12" t="inlineStr">
        <is>
          <t>Branca</t>
        </is>
      </c>
      <c r="G12" t="n">
        <v>28</v>
      </c>
      <c r="H12" t="inlineStr">
        <is>
          <t>Sim</t>
        </is>
      </c>
    </row>
    <row r="13">
      <c r="A13" t="inlineStr">
        <is>
          <t>Masculino</t>
        </is>
      </c>
      <c r="B13" t="inlineStr">
        <is>
          <t>Diretor</t>
        </is>
      </c>
      <c r="C13" t="inlineStr">
        <is>
          <t>TI</t>
        </is>
      </c>
      <c r="D13" t="inlineStr">
        <is>
          <t>Médio</t>
        </is>
      </c>
      <c r="E13" t="inlineStr">
        <is>
          <t>Efetivo</t>
        </is>
      </c>
      <c r="F13" t="inlineStr">
        <is>
          <t>Preta</t>
        </is>
      </c>
      <c r="G13" t="n">
        <v>22</v>
      </c>
      <c r="H13" t="inlineStr">
        <is>
          <t>Sim</t>
        </is>
      </c>
    </row>
    <row r="14">
      <c r="A14" t="inlineStr">
        <is>
          <t>Masculino</t>
        </is>
      </c>
      <c r="B14" t="inlineStr">
        <is>
          <t>Júnior</t>
        </is>
      </c>
      <c r="C14" t="inlineStr">
        <is>
          <t>Operações</t>
        </is>
      </c>
      <c r="D14" t="inlineStr">
        <is>
          <t>Pós-graduação</t>
        </is>
      </c>
      <c r="E14" t="inlineStr">
        <is>
          <t>Efetivo</t>
        </is>
      </c>
      <c r="F14" t="inlineStr">
        <is>
          <t>Branca</t>
        </is>
      </c>
      <c r="G14" t="n">
        <v>45</v>
      </c>
      <c r="H14" t="inlineStr">
        <is>
          <t>Não</t>
        </is>
      </c>
    </row>
    <row r="15">
      <c r="A15" t="inlineStr">
        <is>
          <t>Masculino</t>
        </is>
      </c>
      <c r="B15" t="inlineStr">
        <is>
          <t>Gerente</t>
        </is>
      </c>
      <c r="C15" t="inlineStr">
        <is>
          <t>Operações</t>
        </is>
      </c>
      <c r="D15" t="inlineStr">
        <is>
          <t>Superior</t>
        </is>
      </c>
      <c r="E15" t="inlineStr">
        <is>
          <t>Efetivo</t>
        </is>
      </c>
      <c r="F15" t="inlineStr">
        <is>
          <t>Parda</t>
        </is>
      </c>
      <c r="G15" t="n">
        <v>69</v>
      </c>
      <c r="H15" t="inlineStr">
        <is>
          <t>Não</t>
        </is>
      </c>
    </row>
    <row r="16">
      <c r="A16" t="inlineStr">
        <is>
          <t>Feminino</t>
        </is>
      </c>
      <c r="B16" t="inlineStr">
        <is>
          <t>Júnior</t>
        </is>
      </c>
      <c r="C16" t="inlineStr">
        <is>
          <t>TI</t>
        </is>
      </c>
      <c r="D16" t="inlineStr">
        <is>
          <t>Pós-graduação</t>
        </is>
      </c>
      <c r="E16" t="inlineStr">
        <is>
          <t>Efetivo</t>
        </is>
      </c>
      <c r="F16" t="inlineStr">
        <is>
          <t>Parda</t>
        </is>
      </c>
      <c r="G16" t="n">
        <v>56</v>
      </c>
      <c r="H16" t="inlineStr">
        <is>
          <t>Não</t>
        </is>
      </c>
    </row>
    <row r="17">
      <c r="A17" t="inlineStr">
        <is>
          <t>Masculino</t>
        </is>
      </c>
      <c r="B17" t="inlineStr">
        <is>
          <t>Júnior</t>
        </is>
      </c>
      <c r="C17" t="inlineStr">
        <is>
          <t>RH</t>
        </is>
      </c>
      <c r="D17" t="inlineStr">
        <is>
          <t>Pós-graduação</t>
        </is>
      </c>
      <c r="E17" t="inlineStr">
        <is>
          <t>Efetivo</t>
        </is>
      </c>
      <c r="F17" t="inlineStr">
        <is>
          <t>Parda</t>
        </is>
      </c>
      <c r="G17" t="n">
        <v>58</v>
      </c>
      <c r="H17" t="inlineStr">
        <is>
          <t>Não</t>
        </is>
      </c>
    </row>
    <row r="18">
      <c r="A18" t="inlineStr">
        <is>
          <t>Feminino</t>
        </is>
      </c>
      <c r="B18" t="inlineStr">
        <is>
          <t>Júnior</t>
        </is>
      </c>
      <c r="C18" t="inlineStr">
        <is>
          <t>Comercial</t>
        </is>
      </c>
      <c r="D18" t="inlineStr">
        <is>
          <t>Superior</t>
        </is>
      </c>
      <c r="E18" t="inlineStr">
        <is>
          <t>Efetivo</t>
        </is>
      </c>
      <c r="F18" t="inlineStr">
        <is>
          <t>Preta</t>
        </is>
      </c>
      <c r="G18" t="n">
        <v>56</v>
      </c>
      <c r="H18" t="inlineStr">
        <is>
          <t>Não</t>
        </is>
      </c>
    </row>
    <row r="19">
      <c r="A19" t="inlineStr">
        <is>
          <t>Masculino</t>
        </is>
      </c>
      <c r="B19" t="inlineStr">
        <is>
          <t>Gerente</t>
        </is>
      </c>
      <c r="C19" t="inlineStr">
        <is>
          <t>Operações</t>
        </is>
      </c>
      <c r="D19" t="inlineStr">
        <is>
          <t>Médio</t>
        </is>
      </c>
      <c r="E19" t="inlineStr">
        <is>
          <t>Efetivo</t>
        </is>
      </c>
      <c r="F19" t="inlineStr">
        <is>
          <t>Branca</t>
        </is>
      </c>
      <c r="G19" t="n">
        <v>59</v>
      </c>
      <c r="H19" t="inlineStr">
        <is>
          <t>Não</t>
        </is>
      </c>
    </row>
    <row r="20">
      <c r="A20" t="inlineStr">
        <is>
          <t>Feminino</t>
        </is>
      </c>
      <c r="B20" t="inlineStr">
        <is>
          <t>Gerente</t>
        </is>
      </c>
      <c r="C20" t="inlineStr">
        <is>
          <t>TI</t>
        </is>
      </c>
      <c r="D20" t="inlineStr">
        <is>
          <t>Médio</t>
        </is>
      </c>
      <c r="E20" t="inlineStr">
        <is>
          <t>Efetivo</t>
        </is>
      </c>
      <c r="F20" t="inlineStr">
        <is>
          <t>Parda</t>
        </is>
      </c>
      <c r="G20" t="n">
        <v>45</v>
      </c>
      <c r="H20" t="inlineStr">
        <is>
          <t>Não</t>
        </is>
      </c>
    </row>
    <row r="21">
      <c r="A21" t="inlineStr">
        <is>
          <t>Feminino</t>
        </is>
      </c>
      <c r="B21" t="inlineStr">
        <is>
          <t>Pleno</t>
        </is>
      </c>
      <c r="C21" t="inlineStr">
        <is>
          <t>Operações</t>
        </is>
      </c>
      <c r="D21" t="inlineStr">
        <is>
          <t>Superior</t>
        </is>
      </c>
      <c r="E21" t="inlineStr">
        <is>
          <t>Terceirizado</t>
        </is>
      </c>
      <c r="F21" t="inlineStr">
        <is>
          <t>Parda</t>
        </is>
      </c>
      <c r="G21" t="n">
        <v>41</v>
      </c>
      <c r="H21" t="inlineStr">
        <is>
          <t>Sim</t>
        </is>
      </c>
    </row>
    <row r="22">
      <c r="A22" t="inlineStr">
        <is>
          <t>Masculino</t>
        </is>
      </c>
      <c r="B22" t="inlineStr">
        <is>
          <t>Pleno</t>
        </is>
      </c>
      <c r="C22" t="inlineStr">
        <is>
          <t>TI</t>
        </is>
      </c>
      <c r="D22" t="inlineStr">
        <is>
          <t>Médio</t>
        </is>
      </c>
      <c r="E22" t="inlineStr">
        <is>
          <t>Efetivo</t>
        </is>
      </c>
      <c r="F22" t="inlineStr">
        <is>
          <t>Parda</t>
        </is>
      </c>
      <c r="G22" t="n">
        <v>44</v>
      </c>
      <c r="H22" t="inlineStr">
        <is>
          <t>Não</t>
        </is>
      </c>
    </row>
    <row r="23">
      <c r="A23" t="inlineStr">
        <is>
          <t>Masculino</t>
        </is>
      </c>
      <c r="B23" t="inlineStr">
        <is>
          <t>Pleno</t>
        </is>
      </c>
      <c r="C23" t="inlineStr">
        <is>
          <t>Comercial</t>
        </is>
      </c>
      <c r="D23" t="inlineStr">
        <is>
          <t>Médio</t>
        </is>
      </c>
      <c r="E23" t="inlineStr">
        <is>
          <t>Efetivo</t>
        </is>
      </c>
      <c r="F23" t="inlineStr">
        <is>
          <t>Branca</t>
        </is>
      </c>
      <c r="G23" t="n">
        <v>37</v>
      </c>
      <c r="H23" t="inlineStr">
        <is>
          <t>Sim</t>
        </is>
      </c>
    </row>
    <row r="24">
      <c r="A24" t="inlineStr">
        <is>
          <t>Masculino</t>
        </is>
      </c>
      <c r="B24" t="inlineStr">
        <is>
          <t>Sênior</t>
        </is>
      </c>
      <c r="C24" t="inlineStr">
        <is>
          <t>Comercial</t>
        </is>
      </c>
      <c r="D24" t="inlineStr">
        <is>
          <t>Superior</t>
        </is>
      </c>
      <c r="E24" t="inlineStr">
        <is>
          <t>Efetivo</t>
        </is>
      </c>
      <c r="F24" t="inlineStr">
        <is>
          <t>Parda</t>
        </is>
      </c>
      <c r="G24" t="n">
        <v>27</v>
      </c>
      <c r="H24" t="inlineStr">
        <is>
          <t>Sim</t>
        </is>
      </c>
    </row>
    <row r="25">
      <c r="A25" t="inlineStr">
        <is>
          <t>Masculino</t>
        </is>
      </c>
      <c r="B25" t="inlineStr">
        <is>
          <t>Júnior</t>
        </is>
      </c>
      <c r="C25" t="inlineStr">
        <is>
          <t>TI</t>
        </is>
      </c>
      <c r="D25" t="inlineStr">
        <is>
          <t>Médio</t>
        </is>
      </c>
      <c r="E25" t="inlineStr">
        <is>
          <t>Temporário</t>
        </is>
      </c>
      <c r="F25" t="inlineStr">
        <is>
          <t>Parda</t>
        </is>
      </c>
      <c r="G25" t="n">
        <v>67</v>
      </c>
      <c r="H25" t="inlineStr">
        <is>
          <t>Não</t>
        </is>
      </c>
    </row>
    <row r="26">
      <c r="A26" t="inlineStr">
        <is>
          <t>Masculino</t>
        </is>
      </c>
      <c r="B26" t="inlineStr">
        <is>
          <t>Júnior</t>
        </is>
      </c>
      <c r="C26" t="inlineStr">
        <is>
          <t>Comercial</t>
        </is>
      </c>
      <c r="D26" t="inlineStr">
        <is>
          <t>Superior</t>
        </is>
      </c>
      <c r="E26" t="inlineStr">
        <is>
          <t>Efetivo</t>
        </is>
      </c>
      <c r="F26" t="inlineStr">
        <is>
          <t>Parda</t>
        </is>
      </c>
      <c r="G26" t="n">
        <v>59</v>
      </c>
      <c r="H26" t="inlineStr">
        <is>
          <t>Não</t>
        </is>
      </c>
    </row>
    <row r="27">
      <c r="A27" t="inlineStr">
        <is>
          <t>Masculino</t>
        </is>
      </c>
      <c r="B27" t="inlineStr">
        <is>
          <t>Sênior</t>
        </is>
      </c>
      <c r="C27" t="inlineStr">
        <is>
          <t>Operações</t>
        </is>
      </c>
      <c r="D27" t="inlineStr">
        <is>
          <t>Pós-graduação</t>
        </is>
      </c>
      <c r="E27" t="inlineStr">
        <is>
          <t>Temporário</t>
        </is>
      </c>
      <c r="F27" t="inlineStr">
        <is>
          <t>Branca</t>
        </is>
      </c>
      <c r="G27" t="n">
        <v>52</v>
      </c>
      <c r="H27" t="inlineStr">
        <is>
          <t>Não</t>
        </is>
      </c>
    </row>
    <row r="28">
      <c r="A28" t="inlineStr">
        <is>
          <t>Masculino</t>
        </is>
      </c>
      <c r="B28" t="inlineStr">
        <is>
          <t>Diretor</t>
        </is>
      </c>
      <c r="C28" t="inlineStr">
        <is>
          <t>Comercial</t>
        </is>
      </c>
      <c r="D28" t="inlineStr">
        <is>
          <t>Superior</t>
        </is>
      </c>
      <c r="E28" t="inlineStr">
        <is>
          <t>Efetivo</t>
        </is>
      </c>
      <c r="F28" t="inlineStr">
        <is>
          <t>Preta</t>
        </is>
      </c>
      <c r="G28" t="n">
        <v>39</v>
      </c>
      <c r="H28" t="inlineStr">
        <is>
          <t>Sim</t>
        </is>
      </c>
    </row>
    <row r="29">
      <c r="A29" t="inlineStr">
        <is>
          <t>Feminino</t>
        </is>
      </c>
      <c r="B29" t="inlineStr">
        <is>
          <t>Júnior</t>
        </is>
      </c>
      <c r="C29" t="inlineStr">
        <is>
          <t>Comercial</t>
        </is>
      </c>
      <c r="D29" t="inlineStr">
        <is>
          <t>Superior</t>
        </is>
      </c>
      <c r="E29" t="inlineStr">
        <is>
          <t>Efetivo</t>
        </is>
      </c>
      <c r="F29" t="inlineStr">
        <is>
          <t>Branca</t>
        </is>
      </c>
      <c r="G29" t="n">
        <v>61</v>
      </c>
      <c r="H29" t="inlineStr">
        <is>
          <t>Não</t>
        </is>
      </c>
    </row>
    <row r="30">
      <c r="A30" t="inlineStr">
        <is>
          <t>Masculino</t>
        </is>
      </c>
      <c r="B30" t="inlineStr">
        <is>
          <t>Gerente</t>
        </is>
      </c>
      <c r="C30" t="inlineStr">
        <is>
          <t>Operações</t>
        </is>
      </c>
      <c r="D30" t="inlineStr">
        <is>
          <t>Superior</t>
        </is>
      </c>
      <c r="E30" t="inlineStr">
        <is>
          <t>Efetivo</t>
        </is>
      </c>
      <c r="F30" t="inlineStr">
        <is>
          <t>Branca</t>
        </is>
      </c>
      <c r="G30" t="n">
        <v>46</v>
      </c>
      <c r="H30" t="inlineStr">
        <is>
          <t>Não</t>
        </is>
      </c>
    </row>
    <row r="31">
      <c r="A31" t="inlineStr">
        <is>
          <t>Masculino</t>
        </is>
      </c>
      <c r="B31" t="inlineStr">
        <is>
          <t>Pleno</t>
        </is>
      </c>
      <c r="C31" t="inlineStr">
        <is>
          <t>Operações</t>
        </is>
      </c>
      <c r="D31" t="inlineStr">
        <is>
          <t>Superior</t>
        </is>
      </c>
      <c r="E31" t="inlineStr">
        <is>
          <t>Efetivo</t>
        </is>
      </c>
      <c r="F31" t="inlineStr">
        <is>
          <t>Parda</t>
        </is>
      </c>
      <c r="G31" t="n">
        <v>41</v>
      </c>
      <c r="H31" t="inlineStr">
        <is>
          <t>Sim</t>
        </is>
      </c>
    </row>
    <row r="32">
      <c r="A32" t="inlineStr">
        <is>
          <t>Masculino</t>
        </is>
      </c>
      <c r="B32" t="inlineStr">
        <is>
          <t>Júnior</t>
        </is>
      </c>
      <c r="C32" t="inlineStr">
        <is>
          <t>Operações</t>
        </is>
      </c>
      <c r="D32" t="inlineStr">
        <is>
          <t>Superior</t>
        </is>
      </c>
      <c r="E32" t="inlineStr">
        <is>
          <t>Efetivo</t>
        </is>
      </c>
      <c r="F32" t="inlineStr">
        <is>
          <t>Parda</t>
        </is>
      </c>
      <c r="G32" t="n">
        <v>41</v>
      </c>
      <c r="H32" t="inlineStr">
        <is>
          <t>Sim</t>
        </is>
      </c>
    </row>
    <row r="33">
      <c r="A33" t="inlineStr">
        <is>
          <t>Feminino</t>
        </is>
      </c>
      <c r="B33" t="inlineStr">
        <is>
          <t>Júnior</t>
        </is>
      </c>
      <c r="C33" t="inlineStr">
        <is>
          <t>TI</t>
        </is>
      </c>
      <c r="D33" t="inlineStr">
        <is>
          <t>Pós-graduação</t>
        </is>
      </c>
      <c r="E33" t="inlineStr">
        <is>
          <t>Terceirizado</t>
        </is>
      </c>
      <c r="F33" t="inlineStr">
        <is>
          <t>Parda</t>
        </is>
      </c>
      <c r="G33" t="n">
        <v>30</v>
      </c>
      <c r="H33" t="inlineStr">
        <is>
          <t>Sim</t>
        </is>
      </c>
    </row>
    <row r="34">
      <c r="A34" t="inlineStr">
        <is>
          <t>Feminino</t>
        </is>
      </c>
      <c r="B34" t="inlineStr">
        <is>
          <t>Sênior</t>
        </is>
      </c>
      <c r="C34" t="inlineStr">
        <is>
          <t>Comercial</t>
        </is>
      </c>
      <c r="D34" t="inlineStr">
        <is>
          <t>Superior</t>
        </is>
      </c>
      <c r="E34" t="inlineStr">
        <is>
          <t>Efetivo</t>
        </is>
      </c>
      <c r="F34" t="inlineStr">
        <is>
          <t>Branca</t>
        </is>
      </c>
      <c r="G34" t="n">
        <v>22</v>
      </c>
      <c r="H34" t="inlineStr">
        <is>
          <t>Sim</t>
        </is>
      </c>
    </row>
    <row r="35">
      <c r="A35" t="inlineStr">
        <is>
          <t>Masculino</t>
        </is>
      </c>
      <c r="B35" t="inlineStr">
        <is>
          <t>Pleno</t>
        </is>
      </c>
      <c r="C35" t="inlineStr">
        <is>
          <t>TI</t>
        </is>
      </c>
      <c r="D35" t="inlineStr">
        <is>
          <t>Superior</t>
        </is>
      </c>
      <c r="E35" t="inlineStr">
        <is>
          <t>Efetivo</t>
        </is>
      </c>
      <c r="F35" t="inlineStr">
        <is>
          <t>Branca</t>
        </is>
      </c>
      <c r="G35" t="n">
        <v>47</v>
      </c>
      <c r="H35" t="inlineStr">
        <is>
          <t>Não</t>
        </is>
      </c>
    </row>
    <row r="36">
      <c r="A36" t="inlineStr">
        <is>
          <t>Masculino</t>
        </is>
      </c>
      <c r="B36" t="inlineStr">
        <is>
          <t>Pleno</t>
        </is>
      </c>
      <c r="C36" t="inlineStr">
        <is>
          <t>TI</t>
        </is>
      </c>
      <c r="D36" t="inlineStr">
        <is>
          <t>Superior</t>
        </is>
      </c>
      <c r="E36" t="inlineStr">
        <is>
          <t>Efetivo</t>
        </is>
      </c>
      <c r="F36" t="inlineStr">
        <is>
          <t>Preta</t>
        </is>
      </c>
      <c r="G36" t="n">
        <v>65</v>
      </c>
      <c r="H36" t="inlineStr">
        <is>
          <t>Não</t>
        </is>
      </c>
    </row>
    <row r="37">
      <c r="A37" t="inlineStr">
        <is>
          <t>Masculino</t>
        </is>
      </c>
      <c r="B37" t="inlineStr">
        <is>
          <t>Sênior</t>
        </is>
      </c>
      <c r="C37" t="inlineStr">
        <is>
          <t>TI</t>
        </is>
      </c>
      <c r="D37" t="inlineStr">
        <is>
          <t>Superior</t>
        </is>
      </c>
      <c r="E37" t="inlineStr">
        <is>
          <t>Efetivo</t>
        </is>
      </c>
      <c r="F37" t="inlineStr">
        <is>
          <t>Branca</t>
        </is>
      </c>
      <c r="G37" t="n">
        <v>21</v>
      </c>
      <c r="H37" t="inlineStr">
        <is>
          <t>Sim</t>
        </is>
      </c>
    </row>
    <row r="38">
      <c r="A38" t="inlineStr">
        <is>
          <t>Masculino</t>
        </is>
      </c>
      <c r="B38" t="inlineStr">
        <is>
          <t>Júnior</t>
        </is>
      </c>
      <c r="C38" t="inlineStr">
        <is>
          <t>TI</t>
        </is>
      </c>
      <c r="D38" t="inlineStr">
        <is>
          <t>Superior</t>
        </is>
      </c>
      <c r="E38" t="inlineStr">
        <is>
          <t>Efetivo</t>
        </is>
      </c>
      <c r="F38" t="inlineStr">
        <is>
          <t>Branca</t>
        </is>
      </c>
      <c r="G38" t="n">
        <v>63</v>
      </c>
      <c r="H38" t="inlineStr">
        <is>
          <t>Não</t>
        </is>
      </c>
    </row>
    <row r="39">
      <c r="A39" t="inlineStr">
        <is>
          <t>Feminino</t>
        </is>
      </c>
      <c r="B39" t="inlineStr">
        <is>
          <t>Júnior</t>
        </is>
      </c>
      <c r="C39" t="inlineStr">
        <is>
          <t>Comercial</t>
        </is>
      </c>
      <c r="D39" t="inlineStr">
        <is>
          <t>Médio</t>
        </is>
      </c>
      <c r="E39" t="inlineStr">
        <is>
          <t>Temporário</t>
        </is>
      </c>
      <c r="F39" t="inlineStr">
        <is>
          <t>Preta</t>
        </is>
      </c>
      <c r="G39" t="n">
        <v>61</v>
      </c>
      <c r="H39" t="inlineStr">
        <is>
          <t>Não</t>
        </is>
      </c>
    </row>
    <row r="40">
      <c r="A40" t="inlineStr">
        <is>
          <t>Masculino</t>
        </is>
      </c>
      <c r="B40" t="inlineStr">
        <is>
          <t>Pleno</t>
        </is>
      </c>
      <c r="C40" t="inlineStr">
        <is>
          <t>Operações</t>
        </is>
      </c>
      <c r="D40" t="inlineStr">
        <is>
          <t>Pós-graduação</t>
        </is>
      </c>
      <c r="E40" t="inlineStr">
        <is>
          <t>Efetivo</t>
        </is>
      </c>
      <c r="F40" t="inlineStr">
        <is>
          <t>Branca</t>
        </is>
      </c>
      <c r="G40" t="n">
        <v>32</v>
      </c>
      <c r="H40" t="inlineStr">
        <is>
          <t>Sim</t>
        </is>
      </c>
    </row>
    <row r="41">
      <c r="A41" t="inlineStr">
        <is>
          <t>Feminino</t>
        </is>
      </c>
      <c r="B41" t="inlineStr">
        <is>
          <t>Pleno</t>
        </is>
      </c>
      <c r="C41" t="inlineStr">
        <is>
          <t>Operações</t>
        </is>
      </c>
      <c r="D41" t="inlineStr">
        <is>
          <t>Pós-graduação</t>
        </is>
      </c>
      <c r="E41" t="inlineStr">
        <is>
          <t>Efetivo</t>
        </is>
      </c>
      <c r="F41" t="inlineStr">
        <is>
          <t>Parda</t>
        </is>
      </c>
      <c r="G41" t="n">
        <v>51</v>
      </c>
      <c r="H41" t="inlineStr">
        <is>
          <t>Não</t>
        </is>
      </c>
    </row>
    <row r="42">
      <c r="A42" t="inlineStr">
        <is>
          <t>Feminino</t>
        </is>
      </c>
      <c r="B42" t="inlineStr">
        <is>
          <t>Sênior</t>
        </is>
      </c>
      <c r="C42" t="inlineStr">
        <is>
          <t>TI</t>
        </is>
      </c>
      <c r="D42" t="inlineStr">
        <is>
          <t>Pós-graduação</t>
        </is>
      </c>
      <c r="E42" t="inlineStr">
        <is>
          <t>Efetivo</t>
        </is>
      </c>
      <c r="F42" t="inlineStr">
        <is>
          <t>Preta</t>
        </is>
      </c>
      <c r="G42" t="n">
        <v>26</v>
      </c>
      <c r="H42" t="inlineStr">
        <is>
          <t>Sim</t>
        </is>
      </c>
    </row>
    <row r="43">
      <c r="A43" t="inlineStr">
        <is>
          <t>Feminino</t>
        </is>
      </c>
      <c r="B43" t="inlineStr">
        <is>
          <t>Júnior</t>
        </is>
      </c>
      <c r="C43" t="inlineStr">
        <is>
          <t>RH</t>
        </is>
      </c>
      <c r="D43" t="inlineStr">
        <is>
          <t>Pós-graduação</t>
        </is>
      </c>
      <c r="E43" t="inlineStr">
        <is>
          <t>Efetivo</t>
        </is>
      </c>
      <c r="F43" t="inlineStr">
        <is>
          <t>Parda</t>
        </is>
      </c>
      <c r="G43" t="n">
        <v>58</v>
      </c>
      <c r="H43" t="inlineStr">
        <is>
          <t>Não</t>
        </is>
      </c>
    </row>
    <row r="44">
      <c r="A44" t="inlineStr">
        <is>
          <t>Masculino</t>
        </is>
      </c>
      <c r="B44" t="inlineStr">
        <is>
          <t>Júnior</t>
        </is>
      </c>
      <c r="C44" t="inlineStr">
        <is>
          <t>Comercial</t>
        </is>
      </c>
      <c r="D44" t="inlineStr">
        <is>
          <t>Superior</t>
        </is>
      </c>
      <c r="E44" t="inlineStr">
        <is>
          <t>Efetivo</t>
        </is>
      </c>
      <c r="F44" t="inlineStr">
        <is>
          <t>Parda</t>
        </is>
      </c>
      <c r="G44" t="n">
        <v>55</v>
      </c>
      <c r="H44" t="inlineStr">
        <is>
          <t>Não</t>
        </is>
      </c>
    </row>
    <row r="45">
      <c r="A45" t="inlineStr">
        <is>
          <t>Feminino</t>
        </is>
      </c>
      <c r="B45" t="inlineStr">
        <is>
          <t>Gerente</t>
        </is>
      </c>
      <c r="C45" t="inlineStr">
        <is>
          <t>Operações</t>
        </is>
      </c>
      <c r="D45" t="inlineStr">
        <is>
          <t>Médio</t>
        </is>
      </c>
      <c r="E45" t="inlineStr">
        <is>
          <t>Efetivo</t>
        </is>
      </c>
      <c r="F45" t="inlineStr">
        <is>
          <t>Branca</t>
        </is>
      </c>
      <c r="G45" t="n">
        <v>36</v>
      </c>
      <c r="H45" t="inlineStr">
        <is>
          <t>Sim</t>
        </is>
      </c>
    </row>
    <row r="46">
      <c r="A46" t="inlineStr">
        <is>
          <t>Masculino</t>
        </is>
      </c>
      <c r="B46" t="inlineStr">
        <is>
          <t>Pleno</t>
        </is>
      </c>
      <c r="C46" t="inlineStr">
        <is>
          <t>RH</t>
        </is>
      </c>
      <c r="D46" t="inlineStr">
        <is>
          <t>Pós-graduação</t>
        </is>
      </c>
      <c r="E46" t="inlineStr">
        <is>
          <t>Temporário</t>
        </is>
      </c>
      <c r="F46" t="inlineStr">
        <is>
          <t>Parda</t>
        </is>
      </c>
      <c r="G46" t="n">
        <v>21</v>
      </c>
      <c r="H46" t="inlineStr">
        <is>
          <t>Sim</t>
        </is>
      </c>
    </row>
    <row r="47">
      <c r="A47" t="inlineStr">
        <is>
          <t>Feminino</t>
        </is>
      </c>
      <c r="B47" t="inlineStr">
        <is>
          <t>Júnior</t>
        </is>
      </c>
      <c r="C47" t="inlineStr">
        <is>
          <t>Operações</t>
        </is>
      </c>
      <c r="D47" t="inlineStr">
        <is>
          <t>Médio</t>
        </is>
      </c>
      <c r="E47" t="inlineStr">
        <is>
          <t>Temporário</t>
        </is>
      </c>
      <c r="F47" t="inlineStr">
        <is>
          <t>Parda</t>
        </is>
      </c>
      <c r="G47" t="n">
        <v>69</v>
      </c>
      <c r="H47" t="inlineStr">
        <is>
          <t>Não</t>
        </is>
      </c>
    </row>
    <row r="48">
      <c r="A48" t="inlineStr">
        <is>
          <t>Masculino</t>
        </is>
      </c>
      <c r="B48" t="inlineStr">
        <is>
          <t>Gerente</t>
        </is>
      </c>
      <c r="C48" t="inlineStr">
        <is>
          <t>Comercial</t>
        </is>
      </c>
      <c r="D48" t="inlineStr">
        <is>
          <t>Superior</t>
        </is>
      </c>
      <c r="E48" t="inlineStr">
        <is>
          <t>Efetivo</t>
        </is>
      </c>
      <c r="F48" t="inlineStr">
        <is>
          <t>Branca</t>
        </is>
      </c>
      <c r="G48" t="n">
        <v>41</v>
      </c>
      <c r="H48" t="inlineStr">
        <is>
          <t>Sim</t>
        </is>
      </c>
    </row>
    <row r="49">
      <c r="A49" t="inlineStr">
        <is>
          <t>Feminino</t>
        </is>
      </c>
      <c r="B49" t="inlineStr">
        <is>
          <t>Pleno</t>
        </is>
      </c>
      <c r="C49" t="inlineStr">
        <is>
          <t>Operações</t>
        </is>
      </c>
      <c r="D49" t="inlineStr">
        <is>
          <t>Médio</t>
        </is>
      </c>
      <c r="E49" t="inlineStr">
        <is>
          <t>Efetivo</t>
        </is>
      </c>
      <c r="F49" t="inlineStr">
        <is>
          <t>Branca</t>
        </is>
      </c>
      <c r="G49" t="n">
        <v>65</v>
      </c>
      <c r="H49" t="inlineStr">
        <is>
          <t>Não</t>
        </is>
      </c>
    </row>
    <row r="50">
      <c r="A50" t="inlineStr">
        <is>
          <t>Masculino</t>
        </is>
      </c>
      <c r="B50" t="inlineStr">
        <is>
          <t>Pleno</t>
        </is>
      </c>
      <c r="C50" t="inlineStr">
        <is>
          <t>Operações</t>
        </is>
      </c>
      <c r="D50" t="inlineStr">
        <is>
          <t>Pós-graduação</t>
        </is>
      </c>
      <c r="E50" t="inlineStr">
        <is>
          <t>Efetivo</t>
        </is>
      </c>
      <c r="F50" t="inlineStr">
        <is>
          <t>Parda</t>
        </is>
      </c>
      <c r="G50" t="n">
        <v>53</v>
      </c>
      <c r="H50" t="inlineStr">
        <is>
          <t>Não</t>
        </is>
      </c>
    </row>
    <row r="51">
      <c r="A51" t="inlineStr">
        <is>
          <t>Feminino</t>
        </is>
      </c>
      <c r="B51" t="inlineStr">
        <is>
          <t>Sênior</t>
        </is>
      </c>
      <c r="C51" t="inlineStr">
        <is>
          <t>RH</t>
        </is>
      </c>
      <c r="D51" t="inlineStr">
        <is>
          <t>Superior</t>
        </is>
      </c>
      <c r="E51" t="inlineStr">
        <is>
          <t>Efetivo</t>
        </is>
      </c>
      <c r="F51" t="inlineStr">
        <is>
          <t>Branca</t>
        </is>
      </c>
      <c r="G51" t="n">
        <v>59</v>
      </c>
      <c r="H51" t="inlineStr">
        <is>
          <t>Não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15">
    <outlinePr summaryBelow="1" summaryRight="1"/>
    <pageSetUpPr/>
  </sheetPr>
  <dimension ref="A1:E10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5" customWidth="1" min="1" max="1"/>
    <col width="13" customWidth="1" min="2" max="2"/>
    <col width="16" customWidth="1" min="3" max="3"/>
    <col width="15" customWidth="1" min="4" max="4"/>
    <col width="41" customWidth="1" min="5" max="5"/>
  </cols>
  <sheetData>
    <row r="1">
      <c r="A1" s="6" t="inlineStr">
        <is>
          <t>Variável</t>
        </is>
      </c>
      <c r="B1" s="6" t="inlineStr">
        <is>
          <t>Tipo</t>
        </is>
      </c>
      <c r="C1" s="6" t="inlineStr">
        <is>
          <t>Valores Únicos</t>
        </is>
      </c>
      <c r="D1" s="6" t="inlineStr">
        <is>
          <t>Valores Nulos</t>
        </is>
      </c>
      <c r="E1" s="6" t="inlineStr">
        <is>
          <t>Exemplo de Valores</t>
        </is>
      </c>
    </row>
    <row r="2">
      <c r="A2" t="inlineStr">
        <is>
          <t>Gênero</t>
        </is>
      </c>
      <c r="B2" t="inlineStr">
        <is>
          <t>categorical</t>
        </is>
      </c>
      <c r="C2" t="n">
        <v>2</v>
      </c>
      <c r="D2" t="n">
        <v>0</v>
      </c>
      <c r="E2" t="inlineStr">
        <is>
          <t>Masculino, Feminino</t>
        </is>
      </c>
    </row>
    <row r="3">
      <c r="A3" t="inlineStr">
        <is>
          <t>Cargo</t>
        </is>
      </c>
      <c r="B3" t="inlineStr">
        <is>
          <t>categorical</t>
        </is>
      </c>
      <c r="C3" t="n">
        <v>5</v>
      </c>
      <c r="D3" t="n">
        <v>0</v>
      </c>
      <c r="E3" t="inlineStr">
        <is>
          <t>Júnior, Sênior, Gerente, Pleno, Diretor</t>
        </is>
      </c>
    </row>
    <row r="4">
      <c r="A4" t="inlineStr">
        <is>
          <t>Departamento</t>
        </is>
      </c>
      <c r="B4" t="inlineStr">
        <is>
          <t>categorical</t>
        </is>
      </c>
      <c r="C4" t="n">
        <v>4</v>
      </c>
      <c r="D4" t="n">
        <v>0</v>
      </c>
      <c r="E4" t="inlineStr">
        <is>
          <t>Comercial, Operações, TI, RH</t>
        </is>
      </c>
    </row>
    <row r="5">
      <c r="A5" t="inlineStr">
        <is>
          <t>Instrução</t>
        </is>
      </c>
      <c r="B5" t="inlineStr">
        <is>
          <t>categorical</t>
        </is>
      </c>
      <c r="C5" t="n">
        <v>3</v>
      </c>
      <c r="D5" t="n">
        <v>0</v>
      </c>
      <c r="E5" t="inlineStr">
        <is>
          <t>Médio, Superior, Pós-graduação</t>
        </is>
      </c>
    </row>
    <row r="6">
      <c r="A6" t="inlineStr">
        <is>
          <t>Tipo_Contrato</t>
        </is>
      </c>
      <c r="B6" t="inlineStr">
        <is>
          <t>categorical</t>
        </is>
      </c>
      <c r="C6" t="n">
        <v>3</v>
      </c>
      <c r="D6" t="n">
        <v>0</v>
      </c>
      <c r="E6" t="inlineStr">
        <is>
          <t>Efetivo, Terceirizado, Temporário</t>
        </is>
      </c>
    </row>
    <row r="7">
      <c r="A7" t="inlineStr">
        <is>
          <t>raca</t>
        </is>
      </c>
      <c r="B7" t="inlineStr">
        <is>
          <t>categorical</t>
        </is>
      </c>
      <c r="C7" t="n">
        <v>4</v>
      </c>
      <c r="D7" t="n">
        <v>0</v>
      </c>
      <c r="E7" t="inlineStr">
        <is>
          <t>Parda, Preta, Branca, Amarela</t>
        </is>
      </c>
    </row>
    <row r="8">
      <c r="A8" t="inlineStr">
        <is>
          <t>idade</t>
        </is>
      </c>
      <c r="B8" t="inlineStr">
        <is>
          <t>numerical</t>
        </is>
      </c>
      <c r="C8" t="n">
        <v>52</v>
      </c>
      <c r="D8" t="n">
        <v>0</v>
      </c>
      <c r="E8" t="inlineStr">
        <is>
          <t>22, 59, 52, 41, 40</t>
        </is>
      </c>
    </row>
    <row r="9">
      <c r="A9" t="inlineStr">
        <is>
          <t>lider</t>
        </is>
      </c>
      <c r="B9" t="inlineStr">
        <is>
          <t>categorical</t>
        </is>
      </c>
      <c r="C9" t="n">
        <v>2</v>
      </c>
      <c r="D9" t="n">
        <v>0</v>
      </c>
      <c r="E9" t="inlineStr">
        <is>
          <t>Sim, Não</t>
        </is>
      </c>
    </row>
    <row r="10">
      <c r="A10" t="inlineStr">
        <is>
          <t>faixa_etaria</t>
        </is>
      </c>
      <c r="B10" t="inlineStr">
        <is>
          <t>categorical</t>
        </is>
      </c>
      <c r="C10" t="n">
        <v>6</v>
      </c>
      <c r="D10" t="n">
        <v>0</v>
      </c>
      <c r="E10" t="inlineStr">
        <is>
          <t>18-24, 55-64, 45-54, 35-44, 25-34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16">
    <outlinePr summaryBelow="1" summaryRight="1"/>
    <pageSetUpPr/>
  </sheetPr>
  <dimension ref="A1:E29"/>
  <sheetViews>
    <sheetView workbookViewId="0">
      <pane ySplit="1" topLeftCell="A2" activePane="bottomLeft" state="frozen"/>
      <selection pane="bottomLeft" activeCell="C29" sqref="C29"/>
    </sheetView>
  </sheetViews>
  <sheetFormatPr baseColWidth="10" defaultColWidth="8.83203125" defaultRowHeight="15"/>
  <cols>
    <col width="31" customWidth="1" min="1" max="1"/>
    <col width="14" customWidth="1" min="2" max="2"/>
    <col width="13" customWidth="1" min="3" max="3"/>
    <col width="9" customWidth="1" min="4" max="4"/>
    <col width="50" customWidth="1" min="5" max="5"/>
  </cols>
  <sheetData>
    <row r="1">
      <c r="A1" s="6" t="inlineStr">
        <is>
          <t>Teste</t>
        </is>
      </c>
      <c r="B1" s="6" t="inlineStr">
        <is>
          <t>Tipo</t>
        </is>
      </c>
      <c r="C1" s="6" t="inlineStr">
        <is>
          <t>Estatística</t>
        </is>
      </c>
      <c r="D1" s="6" t="inlineStr">
        <is>
          <t>Valor-p</t>
        </is>
      </c>
      <c r="E1" s="6" t="inlineStr">
        <is>
          <t>Interpretação</t>
        </is>
      </c>
    </row>
    <row r="2">
      <c r="A2" t="inlineStr">
        <is>
          <t>Gênero_vs_Cargo</t>
        </is>
      </c>
      <c r="B2" t="inlineStr">
        <is>
          <t>Qui-quadrado</t>
        </is>
      </c>
      <c r="C2" t="inlineStr">
        <is>
          <t>4.907</t>
        </is>
      </c>
      <c r="D2" t="inlineStr">
        <is>
          <t>0.2970</t>
        </is>
      </c>
      <c r="E2" t="inlineStr">
        <is>
          <t>Não há evidência suficiente para afirmar que existe uma associação entre Gênero e Cargo (p = 0.2970). As variáveis parecem ser independentes.</t>
        </is>
      </c>
    </row>
    <row r="3">
      <c r="A3" t="inlineStr">
        <is>
          <t>Gênero_vs_Departamento</t>
        </is>
      </c>
      <c r="B3" t="inlineStr">
        <is>
          <t>Qui-quadrado</t>
        </is>
      </c>
      <c r="C3" t="inlineStr">
        <is>
          <t>8.320</t>
        </is>
      </c>
      <c r="D3" t="inlineStr">
        <is>
          <t>0.0398</t>
        </is>
      </c>
      <c r="E3" t="inlineStr">
        <is>
          <t>Há uma associação estatisticamente significativa entre Gênero e Departamento (p = 0.0398). Isso sugere que estas variáveis não são independentes.</t>
        </is>
      </c>
    </row>
    <row r="4">
      <c r="A4" t="inlineStr">
        <is>
          <t>Gênero_vs_Instrução</t>
        </is>
      </c>
      <c r="B4" t="inlineStr">
        <is>
          <t>Qui-quadrado</t>
        </is>
      </c>
      <c r="C4" t="inlineStr">
        <is>
          <t>1.317</t>
        </is>
      </c>
      <c r="D4" t="inlineStr">
        <is>
          <t>0.5176</t>
        </is>
      </c>
      <c r="E4" t="inlineStr">
        <is>
          <t>Não há evidência suficiente para afirmar que existe uma associação entre Gênero e Instrução (p = 0.5176). As variáveis parecem ser independentes.</t>
        </is>
      </c>
    </row>
    <row r="5">
      <c r="A5" t="inlineStr">
        <is>
          <t>Gênero_vs_Tipo_Contrato</t>
        </is>
      </c>
      <c r="B5" t="inlineStr">
        <is>
          <t>Qui-quadrado</t>
        </is>
      </c>
      <c r="C5" t="inlineStr">
        <is>
          <t>20.587</t>
        </is>
      </c>
      <c r="D5" t="inlineStr">
        <is>
          <t>0.0000</t>
        </is>
      </c>
      <c r="E5" t="inlineStr">
        <is>
          <t>Há uma associação estatisticamente significativa entre Gênero e Tipo_Contrato (p = 0.0000). Isso sugere que estas variáveis não são independentes.</t>
        </is>
      </c>
    </row>
    <row r="6">
      <c r="A6" t="inlineStr">
        <is>
          <t>Gênero_vs_raca</t>
        </is>
      </c>
      <c r="B6" t="inlineStr">
        <is>
          <t>Qui-quadrado</t>
        </is>
      </c>
      <c r="C6" t="inlineStr">
        <is>
          <t>1.696</t>
        </is>
      </c>
      <c r="D6" t="inlineStr">
        <is>
          <t>0.6378</t>
        </is>
      </c>
      <c r="E6" t="inlineStr">
        <is>
          <t>Não há evidência suficiente para afirmar que existe uma associação entre Gênero e raca (p = 0.6378). As variáveis parecem ser independentes.</t>
        </is>
      </c>
    </row>
    <row r="7">
      <c r="A7" t="inlineStr">
        <is>
          <t>Gênero_vs_lider</t>
        </is>
      </c>
      <c r="B7" t="inlineStr">
        <is>
          <t>Qui-quadrado</t>
        </is>
      </c>
      <c r="C7" t="inlineStr">
        <is>
          <t>0.000</t>
        </is>
      </c>
      <c r="D7" t="inlineStr">
        <is>
          <t>1.0000</t>
        </is>
      </c>
      <c r="E7" t="inlineStr">
        <is>
          <t>Não há evidência suficiente para afirmar que existe uma associação entre Gênero e lider (p = 1.0000). As variáveis parecem ser independentes.</t>
        </is>
      </c>
    </row>
    <row r="8">
      <c r="A8" t="inlineStr">
        <is>
          <t>Gênero_vs_faixa_etaria</t>
        </is>
      </c>
      <c r="B8" t="inlineStr">
        <is>
          <t>Qui-quadrado</t>
        </is>
      </c>
      <c r="C8" t="inlineStr">
        <is>
          <t>7.618</t>
        </is>
      </c>
      <c r="D8" t="inlineStr">
        <is>
          <t>0.1786</t>
        </is>
      </c>
      <c r="E8" t="inlineStr">
        <is>
          <t>Não há evidência suficiente para afirmar que existe uma associação entre Gênero e faixa_etaria (p = 0.1786). As variáveis parecem ser independentes.</t>
        </is>
      </c>
    </row>
    <row r="9">
      <c r="A9" t="inlineStr">
        <is>
          <t>Cargo_vs_Departamento</t>
        </is>
      </c>
      <c r="B9" t="inlineStr">
        <is>
          <t>Qui-quadrado</t>
        </is>
      </c>
      <c r="C9" t="inlineStr">
        <is>
          <t>44.656</t>
        </is>
      </c>
      <c r="D9" t="inlineStr">
        <is>
          <t>0.0000</t>
        </is>
      </c>
      <c r="E9" t="inlineStr">
        <is>
          <t>Há uma associação estatisticamente significativa entre Cargo e Departamento (p = 0.0000). Isso sugere que estas variáveis não são independentes.</t>
        </is>
      </c>
    </row>
    <row r="10">
      <c r="A10" t="inlineStr">
        <is>
          <t>Cargo_vs_Instrução</t>
        </is>
      </c>
      <c r="B10" t="inlineStr">
        <is>
          <t>Qui-quadrado</t>
        </is>
      </c>
      <c r="C10" t="inlineStr">
        <is>
          <t>22.038</t>
        </is>
      </c>
      <c r="D10" t="inlineStr">
        <is>
          <t>0.0048</t>
        </is>
      </c>
      <c r="E10" t="inlineStr">
        <is>
          <t>Há uma associação estatisticamente significativa entre Cargo e Instrução (p = 0.0048). Isso sugere que estas variáveis não são independentes.</t>
        </is>
      </c>
    </row>
    <row r="11">
      <c r="A11" t="inlineStr">
        <is>
          <t>Cargo_vs_Tipo_Contrato</t>
        </is>
      </c>
      <c r="B11" t="inlineStr">
        <is>
          <t>Qui-quadrado</t>
        </is>
      </c>
      <c r="C11" t="inlineStr">
        <is>
          <t>22.677</t>
        </is>
      </c>
      <c r="D11" t="inlineStr">
        <is>
          <t>0.0038</t>
        </is>
      </c>
      <c r="E11" t="inlineStr">
        <is>
          <t>Há uma associação estatisticamente significativa entre Cargo e Tipo_Contrato (p = 0.0038). Isso sugere que estas variáveis não são independentes.</t>
        </is>
      </c>
    </row>
    <row r="12">
      <c r="A12" t="inlineStr">
        <is>
          <t>Cargo_vs_raca</t>
        </is>
      </c>
      <c r="B12" t="inlineStr">
        <is>
          <t>Qui-quadrado</t>
        </is>
      </c>
      <c r="C12" t="inlineStr">
        <is>
          <t>9.633</t>
        </is>
      </c>
      <c r="D12" t="inlineStr">
        <is>
          <t>0.6482</t>
        </is>
      </c>
      <c r="E12" t="inlineStr">
        <is>
          <t>Não há evidência suficiente para afirmar que existe uma associação entre Cargo e raca (p = 0.6482). As variáveis parecem ser independentes.</t>
        </is>
      </c>
    </row>
    <row r="13">
      <c r="A13" t="inlineStr">
        <is>
          <t>Cargo_vs_lider</t>
        </is>
      </c>
      <c r="B13" t="inlineStr">
        <is>
          <t>Qui-quadrado</t>
        </is>
      </c>
      <c r="C13" t="inlineStr">
        <is>
          <t>2.740</t>
        </is>
      </c>
      <c r="D13" t="inlineStr">
        <is>
          <t>0.6022</t>
        </is>
      </c>
      <c r="E13" t="inlineStr">
        <is>
          <t>Não há evidência suficiente para afirmar que existe uma associação entre Cargo e lider (p = 0.6022). As variáveis parecem ser independentes.</t>
        </is>
      </c>
    </row>
    <row r="14">
      <c r="A14" t="inlineStr">
        <is>
          <t>Cargo_vs_faixa_etaria</t>
        </is>
      </c>
      <c r="B14" t="inlineStr">
        <is>
          <t>Qui-quadrado</t>
        </is>
      </c>
      <c r="C14" t="inlineStr">
        <is>
          <t>11.929</t>
        </is>
      </c>
      <c r="D14" t="inlineStr">
        <is>
          <t>0.9185</t>
        </is>
      </c>
      <c r="E14" t="inlineStr">
        <is>
          <t>Não há evidência suficiente para afirmar que existe uma associação entre Cargo e faixa_etaria (p = 0.9185). As variáveis parecem ser independentes.</t>
        </is>
      </c>
    </row>
    <row r="15">
      <c r="A15" t="inlineStr">
        <is>
          <t>Departamento_vs_Instrução</t>
        </is>
      </c>
      <c r="B15" t="inlineStr">
        <is>
          <t>Qui-quadrado</t>
        </is>
      </c>
      <c r="C15" t="inlineStr">
        <is>
          <t>6.898</t>
        </is>
      </c>
      <c r="D15" t="inlineStr">
        <is>
          <t>0.3304</t>
        </is>
      </c>
      <c r="E15" t="inlineStr">
        <is>
          <t>Não há evidência suficiente para afirmar que existe uma associação entre Departamento e Instrução (p = 0.3304). As variáveis parecem ser independentes.</t>
        </is>
      </c>
    </row>
    <row r="16">
      <c r="A16" t="inlineStr">
        <is>
          <t>Departamento_vs_Tipo_Contrato</t>
        </is>
      </c>
      <c r="B16" t="inlineStr">
        <is>
          <t>Qui-quadrado</t>
        </is>
      </c>
      <c r="C16" t="inlineStr">
        <is>
          <t>15.645</t>
        </is>
      </c>
      <c r="D16" t="inlineStr">
        <is>
          <t>0.0158</t>
        </is>
      </c>
      <c r="E16" t="inlineStr">
        <is>
          <t>Há uma associação estatisticamente significativa entre Departamento e Tipo_Contrato (p = 0.0158). Isso sugere que estas variáveis não são independentes.</t>
        </is>
      </c>
    </row>
    <row r="17">
      <c r="A17" t="inlineStr">
        <is>
          <t>Departamento_vs_raca</t>
        </is>
      </c>
      <c r="B17" t="inlineStr">
        <is>
          <t>Qui-quadrado</t>
        </is>
      </c>
      <c r="C17" t="inlineStr">
        <is>
          <t>9.345</t>
        </is>
      </c>
      <c r="D17" t="inlineStr">
        <is>
          <t>0.4061</t>
        </is>
      </c>
      <c r="E17" t="inlineStr">
        <is>
          <t>Não há evidência suficiente para afirmar que existe uma associação entre Departamento e raca (p = 0.4061). As variáveis parecem ser independentes.</t>
        </is>
      </c>
    </row>
    <row r="18">
      <c r="A18" t="inlineStr">
        <is>
          <t>Departamento_vs_lider</t>
        </is>
      </c>
      <c r="B18" t="inlineStr">
        <is>
          <t>Qui-quadrado</t>
        </is>
      </c>
      <c r="C18" t="inlineStr">
        <is>
          <t>0.759</t>
        </is>
      </c>
      <c r="D18" t="inlineStr">
        <is>
          <t>0.8593</t>
        </is>
      </c>
      <c r="E18" t="inlineStr">
        <is>
          <t>Não há evidência suficiente para afirmar que existe uma associação entre Departamento e lider (p = 0.8593). As variáveis parecem ser independentes.</t>
        </is>
      </c>
    </row>
    <row r="19">
      <c r="A19" t="inlineStr">
        <is>
          <t>Departamento_vs_faixa_etaria</t>
        </is>
      </c>
      <c r="B19" t="inlineStr">
        <is>
          <t>Qui-quadrado</t>
        </is>
      </c>
      <c r="C19" t="inlineStr">
        <is>
          <t>18.891</t>
        </is>
      </c>
      <c r="D19" t="inlineStr">
        <is>
          <t>0.2187</t>
        </is>
      </c>
      <c r="E19" t="inlineStr">
        <is>
          <t>Não há evidência suficiente para afirmar que existe uma associação entre Departamento e faixa_etaria (p = 0.2187). As variáveis parecem ser independentes.</t>
        </is>
      </c>
    </row>
    <row r="20">
      <c r="A20" t="inlineStr">
        <is>
          <t>Instrução_vs_Tipo_Contrato</t>
        </is>
      </c>
      <c r="B20" t="inlineStr">
        <is>
          <t>Qui-quadrado</t>
        </is>
      </c>
      <c r="C20" t="inlineStr">
        <is>
          <t>11.966</t>
        </is>
      </c>
      <c r="D20" t="inlineStr">
        <is>
          <t>0.0176</t>
        </is>
      </c>
      <c r="E20" t="inlineStr">
        <is>
          <t>Há uma associação estatisticamente significativa entre Instrução e Tipo_Contrato (p = 0.0176). Isso sugere que estas variáveis não são independentes.</t>
        </is>
      </c>
    </row>
    <row r="21">
      <c r="A21" t="inlineStr">
        <is>
          <t>Instrução_vs_raca</t>
        </is>
      </c>
      <c r="B21" t="inlineStr">
        <is>
          <t>Qui-quadrado</t>
        </is>
      </c>
      <c r="C21" t="inlineStr">
        <is>
          <t>3.276</t>
        </is>
      </c>
      <c r="D21" t="inlineStr">
        <is>
          <t>0.7735</t>
        </is>
      </c>
      <c r="E21" t="inlineStr">
        <is>
          <t>Não há evidência suficiente para afirmar que existe uma associação entre Instrução e raca (p = 0.7735). As variáveis parecem ser independentes.</t>
        </is>
      </c>
    </row>
    <row r="22">
      <c r="A22" t="inlineStr">
        <is>
          <t>Instrução_vs_lider</t>
        </is>
      </c>
      <c r="B22" t="inlineStr">
        <is>
          <t>Qui-quadrado</t>
        </is>
      </c>
      <c r="C22" t="inlineStr">
        <is>
          <t>0.763</t>
        </is>
      </c>
      <c r="D22" t="inlineStr">
        <is>
          <t>0.6829</t>
        </is>
      </c>
      <c r="E22" t="inlineStr">
        <is>
          <t>Não há evidência suficiente para afirmar que existe uma associação entre Instrução e lider (p = 0.6829). As variáveis parecem ser independentes.</t>
        </is>
      </c>
    </row>
    <row r="23">
      <c r="A23" t="inlineStr">
        <is>
          <t>Instrução_vs_faixa_etaria</t>
        </is>
      </c>
      <c r="B23" t="inlineStr">
        <is>
          <t>Qui-quadrado</t>
        </is>
      </c>
      <c r="C23" t="inlineStr">
        <is>
          <t>6.423</t>
        </is>
      </c>
      <c r="D23" t="inlineStr">
        <is>
          <t>0.7785</t>
        </is>
      </c>
      <c r="E23" t="inlineStr">
        <is>
          <t>Não há evidência suficiente para afirmar que existe uma associação entre Instrução e faixa_etaria (p = 0.7785). As variáveis parecem ser independentes.</t>
        </is>
      </c>
    </row>
    <row r="24">
      <c r="A24" t="inlineStr">
        <is>
          <t>Tipo_Contrato_vs_raca</t>
        </is>
      </c>
      <c r="B24" t="inlineStr">
        <is>
          <t>Qui-quadrado</t>
        </is>
      </c>
      <c r="C24" t="inlineStr">
        <is>
          <t>11.913</t>
        </is>
      </c>
      <c r="D24" t="inlineStr">
        <is>
          <t>0.0639</t>
        </is>
      </c>
      <c r="E24" t="inlineStr">
        <is>
          <t>Não há evidência suficiente para afirmar que existe uma associação entre Tipo_Contrato e raca (p = 0.0639). As variáveis parecem ser independentes.</t>
        </is>
      </c>
    </row>
    <row r="25">
      <c r="A25" t="inlineStr">
        <is>
          <t>Tipo_Contrato_vs_lider</t>
        </is>
      </c>
      <c r="B25" t="inlineStr">
        <is>
          <t>Qui-quadrado</t>
        </is>
      </c>
      <c r="C25" t="inlineStr">
        <is>
          <t>0.696</t>
        </is>
      </c>
      <c r="D25" t="inlineStr">
        <is>
          <t>0.7063</t>
        </is>
      </c>
      <c r="E25" t="inlineStr">
        <is>
          <t>Não há evidência suficiente para afirmar que existe uma associação entre Tipo_Contrato e lider (p = 0.7063). As variáveis parecem ser independentes.</t>
        </is>
      </c>
    </row>
    <row r="26">
      <c r="A26" t="inlineStr">
        <is>
          <t>Tipo_Contrato_vs_faixa_etaria</t>
        </is>
      </c>
      <c r="B26" t="inlineStr">
        <is>
          <t>Qui-quadrado</t>
        </is>
      </c>
      <c r="C26" t="inlineStr">
        <is>
          <t>9.913</t>
        </is>
      </c>
      <c r="D26" t="inlineStr">
        <is>
          <t>0.4482</t>
        </is>
      </c>
      <c r="E26" t="inlineStr">
        <is>
          <t>Não há evidência suficiente para afirmar que existe uma associação entre Tipo_Contrato e faixa_etaria (p = 0.4482). As variáveis parecem ser independentes.</t>
        </is>
      </c>
    </row>
    <row r="27">
      <c r="A27" t="inlineStr">
        <is>
          <t>raca_vs_lider</t>
        </is>
      </c>
      <c r="B27" t="inlineStr">
        <is>
          <t>Qui-quadrado</t>
        </is>
      </c>
      <c r="C27" t="inlineStr">
        <is>
          <t>1.215</t>
        </is>
      </c>
      <c r="D27" t="inlineStr">
        <is>
          <t>0.7494</t>
        </is>
      </c>
      <c r="E27" t="inlineStr">
        <is>
          <t>Não há evidência suficiente para afirmar que existe uma associação entre raca e lider (p = 0.7494). As variáveis parecem ser independentes.</t>
        </is>
      </c>
    </row>
    <row r="28">
      <c r="A28" t="inlineStr">
        <is>
          <t>raca_vs_faixa_etaria</t>
        </is>
      </c>
      <c r="B28" t="inlineStr">
        <is>
          <t>Qui-quadrado</t>
        </is>
      </c>
      <c r="C28" t="inlineStr">
        <is>
          <t>14.251</t>
        </is>
      </c>
      <c r="D28" t="inlineStr">
        <is>
          <t>0.5066</t>
        </is>
      </c>
      <c r="E28" t="inlineStr">
        <is>
          <t>Não há evidência suficiente para afirmar que existe uma associação entre raca e faixa_etaria (p = 0.5066). As variáveis parecem ser independentes.</t>
        </is>
      </c>
    </row>
    <row r="29">
      <c r="A29" t="inlineStr">
        <is>
          <t>lider_vs_faixa_etaria</t>
        </is>
      </c>
      <c r="B29" t="inlineStr">
        <is>
          <t>Qui-quadrado</t>
        </is>
      </c>
      <c r="C29" t="inlineStr">
        <is>
          <t>215.185</t>
        </is>
      </c>
      <c r="D29" t="inlineStr">
        <is>
          <t>0.0000</t>
        </is>
      </c>
      <c r="E29" t="inlineStr">
        <is>
          <t>Há uma associação estatisticamente significativa entre lider e faixa_etaria (p = 0.0000). Isso sugere que estas variáveis não são independentes.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17">
    <outlinePr summaryBelow="1" summaryRight="1"/>
    <pageSetUpPr/>
  </sheetPr>
  <dimension ref="A1:I9"/>
  <sheetViews>
    <sheetView topLeftCell="D1" workbookViewId="0">
      <pane ySplit="1" topLeftCell="A2" activePane="bottomLeft" state="frozen"/>
      <selection pane="bottomLeft" activeCell="A9" sqref="A9:XFD9"/>
    </sheetView>
  </sheetViews>
  <sheetFormatPr baseColWidth="10" defaultColWidth="8.83203125" defaultRowHeight="15"/>
  <cols>
    <col width="15" customWidth="1" min="1" max="1"/>
    <col width="19" customWidth="1" min="2" max="3"/>
    <col width="12" customWidth="1" min="4" max="4"/>
    <col width="50" customWidth="1" min="5" max="5"/>
    <col width="46" customWidth="1" min="6" max="6"/>
    <col width="47" customWidth="1" min="7" max="7"/>
    <col width="44" customWidth="1" min="8" max="8"/>
    <col width="48" customWidth="1" min="9" max="9"/>
  </cols>
  <sheetData>
    <row r="1">
      <c r="A1" s="6" t="inlineStr">
        <is>
          <t>Variável</t>
        </is>
      </c>
      <c r="B1" s="6" t="inlineStr">
        <is>
          <t>Índice de Simpson</t>
        </is>
      </c>
      <c r="C1" s="6" t="inlineStr">
        <is>
          <t>Índice de Shannon</t>
        </is>
      </c>
      <c r="D1" s="6" t="inlineStr">
        <is>
          <t>Dominância</t>
        </is>
      </c>
      <c r="E1" s="6" t="inlineStr">
        <is>
          <t>Interpretação (Geral)</t>
        </is>
      </c>
      <c r="F1" s="6" t="inlineStr">
        <is>
          <t>Índice de Simpson (Gênero) — média ponderada</t>
        </is>
      </c>
      <c r="G1" s="6" t="inlineStr">
        <is>
          <t>Interpretação (Gênero)</t>
        </is>
      </c>
      <c r="H1" s="6" t="inlineStr">
        <is>
          <t>Índice de Simpson (Raça) — média ponderada</t>
        </is>
      </c>
      <c r="I1" s="6" t="inlineStr">
        <is>
          <t>Interpretação (Raça)</t>
        </is>
      </c>
    </row>
    <row r="2">
      <c r="A2" t="inlineStr">
        <is>
          <t>Gênero</t>
        </is>
      </c>
      <c r="B2" t="inlineStr">
        <is>
          <t>0.499</t>
        </is>
      </c>
      <c r="C2" t="inlineStr">
        <is>
          <t>0.692</t>
        </is>
      </c>
      <c r="D2" t="inlineStr">
        <is>
          <t>0.526</t>
        </is>
      </c>
      <c r="E2" t="inlineStr">
        <is>
          <t>Diversidade baixa em Gênero (índice = 0.499). Algumas categorias são claramente predominantes.</t>
        </is>
      </c>
      <c r="G2" t="inlineStr">
        <is>
          <t>Baixa diversidade de gênero (índice = nan).</t>
        </is>
      </c>
      <c r="H2" t="n">
        <v>0.6039677333219053</v>
      </c>
      <c r="I2" t="inlineStr">
        <is>
          <t>Diversidade moderada de raça (índice = 0.604).</t>
        </is>
      </c>
    </row>
    <row r="3">
      <c r="A3" t="inlineStr">
        <is>
          <t>Cargo</t>
        </is>
      </c>
      <c r="B3" t="inlineStr">
        <is>
          <t>0.735</t>
        </is>
      </c>
      <c r="C3" t="inlineStr">
        <is>
          <t>1.423</t>
        </is>
      </c>
      <c r="D3" t="inlineStr">
        <is>
          <t>0.343</t>
        </is>
      </c>
      <c r="E3" t="inlineStr">
        <is>
          <t>Diversidade moderada em Cargo (índice = 0.735). Há uma boa distribuição, mas com algumas categorias predominantes.</t>
        </is>
      </c>
      <c r="F3" t="n">
        <v>0.4880007291766054</v>
      </c>
      <c r="G3" t="inlineStr">
        <is>
          <t>Baixa diversidade de gênero (índice = 0.488).</t>
        </is>
      </c>
      <c r="H3" t="n">
        <v>0.5969296638681962</v>
      </c>
      <c r="I3" t="inlineStr">
        <is>
          <t>Baixa diversidade de raça (índice = 0.597).</t>
        </is>
      </c>
    </row>
    <row r="4">
      <c r="A4" t="inlineStr">
        <is>
          <t>Departamento</t>
        </is>
      </c>
      <c r="B4" t="inlineStr">
        <is>
          <t>0.727</t>
        </is>
      </c>
      <c r="C4" t="inlineStr">
        <is>
          <t>1.341</t>
        </is>
      </c>
      <c r="D4" t="inlineStr">
        <is>
          <t>0.365</t>
        </is>
      </c>
      <c r="E4" t="inlineStr">
        <is>
          <t>Diversidade moderada em Departamento (índice = 0.727). Há uma boa distribuição, mas com algumas categorias predominantes.</t>
        </is>
      </c>
      <c r="F4" t="n">
        <v>0.4806018797221727</v>
      </c>
      <c r="G4" t="inlineStr">
        <is>
          <t>Baixa diversidade de gênero (índice = 0.481).</t>
        </is>
      </c>
      <c r="H4" t="n">
        <v>0.5981846576316394</v>
      </c>
      <c r="I4" t="inlineStr">
        <is>
          <t>Baixa diversidade de raça (índice = 0.598).</t>
        </is>
      </c>
    </row>
    <row r="5">
      <c r="A5" t="inlineStr">
        <is>
          <t>Instrução</t>
        </is>
      </c>
      <c r="B5" t="inlineStr">
        <is>
          <t>0.642</t>
        </is>
      </c>
      <c r="C5" t="inlineStr">
        <is>
          <t>1.060</t>
        </is>
      </c>
      <c r="D5" t="inlineStr">
        <is>
          <t>0.430</t>
        </is>
      </c>
      <c r="E5" t="inlineStr">
        <is>
          <t>Diversidade moderada em Instrução (índice = 0.642). Há uma boa distribuição, mas com algumas categorias predominantes.</t>
        </is>
      </c>
      <c r="F5" t="n">
        <v>0.4957836420342102</v>
      </c>
      <c r="G5" t="inlineStr">
        <is>
          <t>Baixa diversidade de gênero (índice = 0.496).</t>
        </is>
      </c>
      <c r="H5" t="n">
        <v>0.6035519127474892</v>
      </c>
      <c r="I5" t="inlineStr">
        <is>
          <t>Diversidade moderada de raça (índice = 0.604).</t>
        </is>
      </c>
    </row>
    <row r="6">
      <c r="A6" t="inlineStr">
        <is>
          <t>Tipo_Contrato</t>
        </is>
      </c>
      <c r="B6" t="inlineStr">
        <is>
          <t>0.444</t>
        </is>
      </c>
      <c r="C6" t="inlineStr">
        <is>
          <t>0.786</t>
        </is>
      </c>
      <c r="D6" t="inlineStr">
        <is>
          <t>0.717</t>
        </is>
      </c>
      <c r="E6" t="inlineStr">
        <is>
          <t>Diversidade baixa em Tipo_Contrato (índice = 0.444). Algumas categorias são claramente predominantes.</t>
        </is>
      </c>
      <c r="F6" t="n">
        <v>0.454006283571501</v>
      </c>
      <c r="G6" t="inlineStr">
        <is>
          <t>Baixa diversidade de gênero (índice = 0.454).</t>
        </is>
      </c>
      <c r="H6" t="n">
        <v>0.5983804601195907</v>
      </c>
      <c r="I6" t="inlineStr">
        <is>
          <t>Baixa diversidade de raça (índice = 0.598).</t>
        </is>
      </c>
    </row>
    <row r="7">
      <c r="A7" t="inlineStr">
        <is>
          <t>raca</t>
        </is>
      </c>
      <c r="B7" t="inlineStr">
        <is>
          <t>0.605</t>
        </is>
      </c>
      <c r="C7" t="inlineStr">
        <is>
          <t>1.008</t>
        </is>
      </c>
      <c r="D7" t="inlineStr">
        <is>
          <t>0.457</t>
        </is>
      </c>
      <c r="E7" t="inlineStr">
        <is>
          <t>Diversidade moderada em raca (índice = 0.605). Há uma boa distribuição, mas com algumas categorias predominantes.</t>
        </is>
      </c>
      <c r="F7" t="n">
        <v>0.4949615417854982</v>
      </c>
      <c r="G7" t="inlineStr">
        <is>
          <t>Baixa diversidade de gênero (índice = 0.495).</t>
        </is>
      </c>
      <c r="I7" t="inlineStr">
        <is>
          <t>Baixa diversidade de raça (índice = nan).</t>
        </is>
      </c>
    </row>
    <row r="8">
      <c r="A8" t="inlineStr">
        <is>
          <t>lider</t>
        </is>
      </c>
      <c r="B8" t="inlineStr">
        <is>
          <t>0.500</t>
        </is>
      </c>
      <c r="C8" t="inlineStr">
        <is>
          <t>0.693</t>
        </is>
      </c>
      <c r="D8" t="inlineStr">
        <is>
          <t>0.500</t>
        </is>
      </c>
      <c r="E8" t="inlineStr">
        <is>
          <t>Diversidade baixa em lider (índice = 0.500). Algumas categorias são claramente predominantes.</t>
        </is>
      </c>
      <c r="F8" t="n">
        <v>0.498601134215501</v>
      </c>
      <c r="G8" t="inlineStr">
        <is>
          <t>Baixa diversidade de gênero (índice = 0.499).</t>
        </is>
      </c>
      <c r="H8" t="n">
        <v>0.6046880907372401</v>
      </c>
      <c r="I8" t="inlineStr">
        <is>
          <t>Diversidade moderada de raça (índice = 0.605).</t>
        </is>
      </c>
    </row>
    <row r="9">
      <c r="A9" t="inlineStr">
        <is>
          <t>faixa_etaria</t>
        </is>
      </c>
      <c r="B9" t="inlineStr">
        <is>
          <t>0.818</t>
        </is>
      </c>
      <c r="C9" t="inlineStr">
        <is>
          <t>1.744</t>
        </is>
      </c>
      <c r="D9" t="inlineStr">
        <is>
          <t>0.235</t>
        </is>
      </c>
      <c r="E9" t="inlineStr">
        <is>
          <t>Alta diversidade em faixa_etaria (índice = 0.818). A distribuição é bem equilibrada entre diferentes categorias.</t>
        </is>
      </c>
      <c r="F9" t="n">
        <v>0.4821225697184776</v>
      </c>
      <c r="G9" t="inlineStr">
        <is>
          <t>Baixa diversidade de gênero (índice = 0.482).</t>
        </is>
      </c>
      <c r="H9" t="n">
        <v>0.5942795736913383</v>
      </c>
      <c r="I9" t="inlineStr">
        <is>
          <t>Baixa diversidade de raça (índice = 0.594).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A1:I28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5" customWidth="1" min="1" max="1"/>
    <col width="23" customWidth="1" min="2" max="2"/>
    <col width="7" customWidth="1" min="3" max="3"/>
    <col width="28" customWidth="1" min="4" max="5"/>
    <col width="21" customWidth="1" min="6" max="6"/>
    <col width="23" customWidth="1" min="7" max="7"/>
    <col width="14" customWidth="1" min="8" max="8"/>
    <col width="15" customWidth="1" min="9" max="9"/>
  </cols>
  <sheetData>
    <row r="1">
      <c r="A1" s="6" t="inlineStr">
        <is>
          <t>Variável</t>
        </is>
      </c>
      <c r="B1" s="6" t="inlineStr">
        <is>
          <t>Categoria da Variável</t>
        </is>
      </c>
      <c r="C1" s="6" t="inlineStr">
        <is>
          <t>Total</t>
        </is>
      </c>
      <c r="D1" s="6" t="inlineStr">
        <is>
          <t>Índice de Simpson (Gênero)</t>
        </is>
      </c>
      <c r="E1" s="6" t="inlineStr">
        <is>
          <t>Índice de Shannon (Gênero)</t>
        </is>
      </c>
      <c r="F1" s="6" t="inlineStr">
        <is>
          <t>Dominância (Gênero)</t>
        </is>
      </c>
      <c r="G1" s="6" t="inlineStr">
        <is>
          <t>Predominante (Gênero)</t>
        </is>
      </c>
      <c r="H1" s="6" t="inlineStr">
        <is>
          <t>Feminino (%)</t>
        </is>
      </c>
      <c r="I1" s="6" t="inlineStr">
        <is>
          <t>Masculino (%)</t>
        </is>
      </c>
    </row>
    <row r="2">
      <c r="A2" t="inlineStr">
        <is>
          <t>Cargo</t>
        </is>
      </c>
      <c r="B2" t="inlineStr">
        <is>
          <t>Diretor</t>
        </is>
      </c>
      <c r="C2" t="n">
        <v>10</v>
      </c>
      <c r="D2" s="11" t="n">
        <v>0.48</v>
      </c>
      <c r="E2" t="n">
        <v>0.6730116670092565</v>
      </c>
      <c r="F2" t="n">
        <v>0.6</v>
      </c>
      <c r="G2" t="inlineStr">
        <is>
          <t>Feminino (60.0%)</t>
        </is>
      </c>
      <c r="H2" t="inlineStr">
        <is>
          <t>60.0%</t>
        </is>
      </c>
      <c r="I2" t="inlineStr">
        <is>
          <t>40.0%</t>
        </is>
      </c>
    </row>
    <row r="3">
      <c r="A3" t="inlineStr">
        <is>
          <t>Cargo</t>
        </is>
      </c>
      <c r="B3" t="inlineStr">
        <is>
          <t>Gerente</t>
        </is>
      </c>
      <c r="C3" t="n">
        <v>22</v>
      </c>
      <c r="D3" s="11" t="n">
        <v>0.5</v>
      </c>
      <c r="E3" t="n">
        <v>0.6931471805599453</v>
      </c>
      <c r="F3" t="n">
        <v>0.5</v>
      </c>
      <c r="G3" t="inlineStr">
        <is>
          <t>Feminino (50.0%)</t>
        </is>
      </c>
      <c r="H3" t="inlineStr">
        <is>
          <t>50.0%</t>
        </is>
      </c>
      <c r="I3" t="inlineStr">
        <is>
          <t>50.0%</t>
        </is>
      </c>
    </row>
    <row r="4">
      <c r="A4" t="inlineStr">
        <is>
          <t>Cargo</t>
        </is>
      </c>
      <c r="B4" t="inlineStr">
        <is>
          <t>Júnior</t>
        </is>
      </c>
      <c r="C4" t="n">
        <v>79</v>
      </c>
      <c r="D4" s="11" t="n">
        <v>0.499278961704855</v>
      </c>
      <c r="E4" t="n">
        <v>0.6924259688660179</v>
      </c>
      <c r="F4" t="n">
        <v>0.5189873417721519</v>
      </c>
      <c r="G4" t="inlineStr">
        <is>
          <t>Masculino (51.9%)</t>
        </is>
      </c>
      <c r="H4" t="inlineStr">
        <is>
          <t>48.1%</t>
        </is>
      </c>
      <c r="I4" t="inlineStr">
        <is>
          <t>51.9%</t>
        </is>
      </c>
    </row>
    <row r="5">
      <c r="A5" t="inlineStr">
        <is>
          <t>Cargo</t>
        </is>
      </c>
      <c r="B5" t="inlineStr">
        <is>
          <t>Pleno</t>
        </is>
      </c>
      <c r="C5" t="n">
        <v>67</v>
      </c>
      <c r="D5" s="11" t="n">
        <v>0.4678102027177544</v>
      </c>
      <c r="E5" t="n">
        <v>0.6606027747699736</v>
      </c>
      <c r="F5" t="n">
        <v>0.6268656716417911</v>
      </c>
      <c r="G5" t="inlineStr">
        <is>
          <t>Masculino (62.7%)</t>
        </is>
      </c>
      <c r="H5" t="inlineStr">
        <is>
          <t>37.3%</t>
        </is>
      </c>
      <c r="I5" t="inlineStr">
        <is>
          <t>62.7%</t>
        </is>
      </c>
    </row>
    <row r="6">
      <c r="A6" t="inlineStr">
        <is>
          <t>Cargo</t>
        </is>
      </c>
      <c r="B6" t="inlineStr">
        <is>
          <t>Sênior</t>
        </is>
      </c>
      <c r="C6" t="n">
        <v>52</v>
      </c>
      <c r="D6" s="11" t="n">
        <v>0.4933431952662722</v>
      </c>
      <c r="E6" t="n">
        <v>0.6864755255818468</v>
      </c>
      <c r="F6" t="n">
        <v>0.5576923076923077</v>
      </c>
      <c r="G6" t="inlineStr">
        <is>
          <t>Feminino (55.8%)</t>
        </is>
      </c>
      <c r="H6" t="inlineStr">
        <is>
          <t>55.8%</t>
        </is>
      </c>
      <c r="I6" t="inlineStr">
        <is>
          <t>44.2%</t>
        </is>
      </c>
    </row>
    <row r="7">
      <c r="A7" t="inlineStr">
        <is>
          <t>Departamento</t>
        </is>
      </c>
      <c r="B7" t="inlineStr">
        <is>
          <t>Comercial</t>
        </is>
      </c>
      <c r="C7" t="n">
        <v>46</v>
      </c>
      <c r="D7" s="11" t="n">
        <v>0.4962192816635161</v>
      </c>
      <c r="E7" t="n">
        <v>0.6893616831435102</v>
      </c>
      <c r="F7" t="n">
        <v>0.5434782608695652</v>
      </c>
      <c r="G7" t="inlineStr">
        <is>
          <t>Feminino (54.3%)</t>
        </is>
      </c>
      <c r="H7" t="inlineStr">
        <is>
          <t>54.3%</t>
        </is>
      </c>
      <c r="I7" t="inlineStr">
        <is>
          <t>45.7%</t>
        </is>
      </c>
    </row>
    <row r="8">
      <c r="A8" t="inlineStr">
        <is>
          <t>Departamento</t>
        </is>
      </c>
      <c r="B8" t="inlineStr">
        <is>
          <t>Operações</t>
        </is>
      </c>
      <c r="C8" t="n">
        <v>84</v>
      </c>
      <c r="D8" s="11" t="n">
        <v>0.4591836734693877</v>
      </c>
      <c r="E8" t="n">
        <v>0.6517565611726531</v>
      </c>
      <c r="F8" t="n">
        <v>0.6428571428571429</v>
      </c>
      <c r="G8" t="inlineStr">
        <is>
          <t>Masculino (64.3%)</t>
        </is>
      </c>
      <c r="H8" t="inlineStr">
        <is>
          <t>35.7%</t>
        </is>
      </c>
      <c r="I8" t="inlineStr">
        <is>
          <t>64.3%</t>
        </is>
      </c>
    </row>
    <row r="9">
      <c r="A9" t="inlineStr">
        <is>
          <t>Departamento</t>
        </is>
      </c>
      <c r="B9" t="inlineStr">
        <is>
          <t>RH</t>
        </is>
      </c>
      <c r="C9" t="n">
        <v>38</v>
      </c>
      <c r="D9" s="11" t="n">
        <v>0.4986149584487536</v>
      </c>
      <c r="E9" t="n">
        <v>0.6917614988524178</v>
      </c>
      <c r="F9" t="n">
        <v>0.5263157894736842</v>
      </c>
      <c r="G9" t="inlineStr">
        <is>
          <t>Masculino (52.6%)</t>
        </is>
      </c>
      <c r="H9" t="inlineStr">
        <is>
          <t>47.4%</t>
        </is>
      </c>
      <c r="I9" t="inlineStr">
        <is>
          <t>52.6%</t>
        </is>
      </c>
    </row>
    <row r="10">
      <c r="A10" t="inlineStr">
        <is>
          <t>Departamento</t>
        </is>
      </c>
      <c r="B10" t="inlineStr">
        <is>
          <t>TI</t>
        </is>
      </c>
      <c r="C10" t="n">
        <v>62</v>
      </c>
      <c r="D10" s="11" t="n">
        <v>0.4869927159209156</v>
      </c>
      <c r="E10" t="n">
        <v>0.6800829048357611</v>
      </c>
      <c r="F10" t="n">
        <v>0.5806451612903226</v>
      </c>
      <c r="G10" t="inlineStr">
        <is>
          <t>Feminino (58.1%)</t>
        </is>
      </c>
      <c r="H10" t="inlineStr">
        <is>
          <t>58.1%</t>
        </is>
      </c>
      <c r="I10" t="inlineStr">
        <is>
          <t>41.9%</t>
        </is>
      </c>
    </row>
    <row r="11">
      <c r="A11" t="inlineStr">
        <is>
          <t>Instrução</t>
        </is>
      </c>
      <c r="B11" t="inlineStr">
        <is>
          <t>Médio</t>
        </is>
      </c>
      <c r="C11" t="n">
        <v>82</v>
      </c>
      <c r="D11" s="11" t="n">
        <v>0.4997025580011898</v>
      </c>
      <c r="E11" t="n">
        <v>0.6928497090635346</v>
      </c>
      <c r="F11" t="n">
        <v>0.5121951219512195</v>
      </c>
      <c r="G11" t="inlineStr">
        <is>
          <t>Masculino (51.2%)</t>
        </is>
      </c>
      <c r="H11" t="inlineStr">
        <is>
          <t>48.8%</t>
        </is>
      </c>
      <c r="I11" t="inlineStr">
        <is>
          <t>51.2%</t>
        </is>
      </c>
    </row>
    <row r="12">
      <c r="A12" t="inlineStr">
        <is>
          <t>Instrução</t>
        </is>
      </c>
      <c r="B12" t="inlineStr">
        <is>
          <t>Pós-graduação</t>
        </is>
      </c>
      <c r="C12" t="n">
        <v>49</v>
      </c>
      <c r="D12" s="11" t="n">
        <v>0.4981257809246147</v>
      </c>
      <c r="E12" t="n">
        <v>0.6912717888263618</v>
      </c>
      <c r="F12" t="n">
        <v>0.5306122448979592</v>
      </c>
      <c r="G12" t="inlineStr">
        <is>
          <t>Feminino (53.1%)</t>
        </is>
      </c>
      <c r="H12" t="inlineStr">
        <is>
          <t>53.1%</t>
        </is>
      </c>
      <c r="I12" t="inlineStr">
        <is>
          <t>46.9%</t>
        </is>
      </c>
    </row>
    <row r="13">
      <c r="A13" t="inlineStr">
        <is>
          <t>Instrução</t>
        </is>
      </c>
      <c r="B13" t="inlineStr">
        <is>
          <t>Superior</t>
        </is>
      </c>
      <c r="C13" t="n">
        <v>99</v>
      </c>
      <c r="D13" s="11" t="n">
        <v>0.4913784307723702</v>
      </c>
      <c r="E13" t="n">
        <v>0.6845006616902309</v>
      </c>
      <c r="F13" t="n">
        <v>0.5656565656565656</v>
      </c>
      <c r="G13" t="inlineStr">
        <is>
          <t>Masculino (56.6%)</t>
        </is>
      </c>
      <c r="H13" t="inlineStr">
        <is>
          <t>43.4%</t>
        </is>
      </c>
      <c r="I13" t="inlineStr">
        <is>
          <t>56.6%</t>
        </is>
      </c>
    </row>
    <row r="14">
      <c r="A14" t="inlineStr">
        <is>
          <t>Tipo_Contrato</t>
        </is>
      </c>
      <c r="B14" t="inlineStr">
        <is>
          <t>Efetivo</t>
        </is>
      </c>
      <c r="C14" t="n">
        <v>165</v>
      </c>
      <c r="D14" s="11" t="n">
        <v>0.4998347107438017</v>
      </c>
      <c r="E14" t="n">
        <v>0.6929818821956966</v>
      </c>
      <c r="F14" t="n">
        <v>0.509090909090909</v>
      </c>
      <c r="G14" t="inlineStr">
        <is>
          <t>Masculino (50.9%)</t>
        </is>
      </c>
      <c r="H14" t="inlineStr">
        <is>
          <t>49.1%</t>
        </is>
      </c>
      <c r="I14" t="inlineStr">
        <is>
          <t>50.9%</t>
        </is>
      </c>
    </row>
    <row r="15">
      <c r="A15" t="inlineStr">
        <is>
          <t>Tipo_Contrato</t>
        </is>
      </c>
      <c r="B15" t="inlineStr">
        <is>
          <t>Temporário</t>
        </is>
      </c>
      <c r="C15" t="n">
        <v>39</v>
      </c>
      <c r="D15" s="11" t="n">
        <v>0.3261012491781723</v>
      </c>
      <c r="E15" t="n">
        <v>0.5074299622199485</v>
      </c>
      <c r="F15" t="n">
        <v>0.7948717948717948</v>
      </c>
      <c r="G15" t="inlineStr">
        <is>
          <t>Masculino (79.5%)</t>
        </is>
      </c>
      <c r="H15" t="inlineStr">
        <is>
          <t>20.5%</t>
        </is>
      </c>
      <c r="I15" t="inlineStr">
        <is>
          <t>79.5%</t>
        </is>
      </c>
    </row>
    <row r="16">
      <c r="A16" t="inlineStr">
        <is>
          <t>Tipo_Contrato</t>
        </is>
      </c>
      <c r="B16" t="inlineStr">
        <is>
          <t>Terceirizado</t>
        </is>
      </c>
      <c r="C16" t="n">
        <v>26</v>
      </c>
      <c r="D16" s="11" t="n">
        <v>0.3550295857988165</v>
      </c>
      <c r="E16" t="n">
        <v>0.5402041423888608</v>
      </c>
      <c r="F16" t="n">
        <v>0.7692307692307693</v>
      </c>
      <c r="G16" t="inlineStr">
        <is>
          <t>Feminino (76.9%)</t>
        </is>
      </c>
      <c r="H16" t="inlineStr">
        <is>
          <t>76.9%</t>
        </is>
      </c>
      <c r="I16" t="inlineStr">
        <is>
          <t>23.1%</t>
        </is>
      </c>
    </row>
    <row r="17">
      <c r="A17" t="inlineStr">
        <is>
          <t>raca</t>
        </is>
      </c>
      <c r="B17" t="inlineStr">
        <is>
          <t>Amarela</t>
        </is>
      </c>
      <c r="C17" t="n">
        <v>1</v>
      </c>
      <c r="D17" s="11" t="n">
        <v>0</v>
      </c>
      <c r="E17" t="n">
        <v>0</v>
      </c>
      <c r="F17" t="n">
        <v>1</v>
      </c>
      <c r="G17" t="inlineStr">
        <is>
          <t>Feminino (100.0%)</t>
        </is>
      </c>
      <c r="H17" t="inlineStr">
        <is>
          <t>100.0%</t>
        </is>
      </c>
      <c r="I17" t="inlineStr">
        <is>
          <t>0.0%</t>
        </is>
      </c>
    </row>
    <row r="18">
      <c r="A18" t="inlineStr">
        <is>
          <t>raca</t>
        </is>
      </c>
      <c r="B18" t="inlineStr">
        <is>
          <t>Branca</t>
        </is>
      </c>
      <c r="C18" t="n">
        <v>95</v>
      </c>
      <c r="D18" s="11" t="n">
        <v>0.4932963988919667</v>
      </c>
      <c r="E18" t="n">
        <v>0.6864285191146048</v>
      </c>
      <c r="F18" t="n">
        <v>0.5578947368421052</v>
      </c>
      <c r="G18" t="inlineStr">
        <is>
          <t>Masculino (55.8%)</t>
        </is>
      </c>
      <c r="H18" t="inlineStr">
        <is>
          <t>44.2%</t>
        </is>
      </c>
      <c r="I18" t="inlineStr">
        <is>
          <t>55.8%</t>
        </is>
      </c>
    </row>
    <row r="19">
      <c r="A19" t="inlineStr">
        <is>
          <t>raca</t>
        </is>
      </c>
      <c r="B19" t="inlineStr">
        <is>
          <t>Parda</t>
        </is>
      </c>
      <c r="C19" t="n">
        <v>105</v>
      </c>
      <c r="D19" s="11" t="n">
        <v>0.4999546485260771</v>
      </c>
      <c r="E19" t="n">
        <v>0.6931018284004121</v>
      </c>
      <c r="F19" t="n">
        <v>0.5047619047619047</v>
      </c>
      <c r="G19" t="inlineStr">
        <is>
          <t>Masculino (50.5%)</t>
        </is>
      </c>
      <c r="H19" t="inlineStr">
        <is>
          <t>49.5%</t>
        </is>
      </c>
      <c r="I19" t="inlineStr">
        <is>
          <t>50.5%</t>
        </is>
      </c>
    </row>
    <row r="20">
      <c r="A20" t="inlineStr">
        <is>
          <t>raca</t>
        </is>
      </c>
      <c r="B20" t="inlineStr">
        <is>
          <t>Preta</t>
        </is>
      </c>
      <c r="C20" t="n">
        <v>29</v>
      </c>
      <c r="D20" s="11" t="n">
        <v>0.4994054696789536</v>
      </c>
      <c r="E20" t="n">
        <v>0.6925525323607232</v>
      </c>
      <c r="F20" t="n">
        <v>0.5172413793103449</v>
      </c>
      <c r="G20" t="inlineStr">
        <is>
          <t>Masculino (51.7%)</t>
        </is>
      </c>
      <c r="H20" t="inlineStr">
        <is>
          <t>48.3%</t>
        </is>
      </c>
      <c r="I20" t="inlineStr">
        <is>
          <t>51.7%</t>
        </is>
      </c>
    </row>
    <row r="21">
      <c r="A21" t="inlineStr">
        <is>
          <t>lider</t>
        </is>
      </c>
      <c r="B21" t="inlineStr">
        <is>
          <t>Não</t>
        </is>
      </c>
      <c r="C21" t="n">
        <v>115</v>
      </c>
      <c r="D21" s="11" t="n">
        <v>0.499054820415879</v>
      </c>
      <c r="E21" t="n">
        <v>0.6922017029622767</v>
      </c>
      <c r="F21" t="n">
        <v>0.5217391304347826</v>
      </c>
      <c r="G21" t="inlineStr">
        <is>
          <t>Masculino (52.2%)</t>
        </is>
      </c>
      <c r="H21" t="inlineStr">
        <is>
          <t>47.8%</t>
        </is>
      </c>
      <c r="I21" t="inlineStr">
        <is>
          <t>52.2%</t>
        </is>
      </c>
    </row>
    <row r="22">
      <c r="A22" t="inlineStr">
        <is>
          <t>lider</t>
        </is>
      </c>
      <c r="B22" t="inlineStr">
        <is>
          <t>Sim</t>
        </is>
      </c>
      <c r="C22" t="n">
        <v>115</v>
      </c>
      <c r="D22" s="11" t="n">
        <v>0.4981474480151229</v>
      </c>
      <c r="E22" t="n">
        <v>0.6912934828933126</v>
      </c>
      <c r="F22" t="n">
        <v>0.5304347826086957</v>
      </c>
      <c r="G22" t="inlineStr">
        <is>
          <t>Masculino (53.0%)</t>
        </is>
      </c>
      <c r="H22" t="inlineStr">
        <is>
          <t>47.0%</t>
        </is>
      </c>
      <c r="I22" t="inlineStr">
        <is>
          <t>53.0%</t>
        </is>
      </c>
    </row>
    <row r="23">
      <c r="A23" t="inlineStr">
        <is>
          <t>faixa_etaria</t>
        </is>
      </c>
      <c r="B23" t="inlineStr">
        <is>
          <t>18-24</t>
        </is>
      </c>
      <c r="C23" t="n">
        <v>28</v>
      </c>
      <c r="D23" s="11" t="n">
        <v>0.4974489795918368</v>
      </c>
      <c r="E23" t="n">
        <v>0.6905939864775922</v>
      </c>
      <c r="F23" t="n">
        <v>0.5357142857142857</v>
      </c>
      <c r="G23" t="inlineStr">
        <is>
          <t>Masculino (53.6%)</t>
        </is>
      </c>
      <c r="H23" t="inlineStr">
        <is>
          <t>46.4%</t>
        </is>
      </c>
      <c r="I23" t="inlineStr">
        <is>
          <t>53.6%</t>
        </is>
      </c>
    </row>
    <row r="24">
      <c r="A24" t="inlineStr">
        <is>
          <t>faixa_etaria</t>
        </is>
      </c>
      <c r="B24" t="inlineStr">
        <is>
          <t>25-34</t>
        </is>
      </c>
      <c r="C24" t="n">
        <v>37</v>
      </c>
      <c r="D24" s="11" t="n">
        <v>0.4908692476260044</v>
      </c>
      <c r="E24" t="n">
        <v>0.6839884329677817</v>
      </c>
      <c r="F24" t="n">
        <v>0.5675675675675675</v>
      </c>
      <c r="G24" t="inlineStr">
        <is>
          <t>Feminino (56.8%)</t>
        </is>
      </c>
      <c r="H24" t="inlineStr">
        <is>
          <t>56.8%</t>
        </is>
      </c>
      <c r="I24" t="inlineStr">
        <is>
          <t>43.2%</t>
        </is>
      </c>
    </row>
    <row r="25">
      <c r="A25" t="inlineStr">
        <is>
          <t>faixa_etaria</t>
        </is>
      </c>
      <c r="B25" t="inlineStr">
        <is>
          <t>35-44</t>
        </is>
      </c>
      <c r="C25" t="n">
        <v>54</v>
      </c>
      <c r="D25" s="11" t="n">
        <v>0.4753086419753085</v>
      </c>
      <c r="E25" t="n">
        <v>0.6682484776645385</v>
      </c>
      <c r="F25" t="n">
        <v>0.6111111111111112</v>
      </c>
      <c r="G25" t="inlineStr">
        <is>
          <t>Masculino (61.1%)</t>
        </is>
      </c>
      <c r="H25" t="inlineStr">
        <is>
          <t>38.9%</t>
        </is>
      </c>
      <c r="I25" t="inlineStr">
        <is>
          <t>61.1%</t>
        </is>
      </c>
    </row>
    <row r="26">
      <c r="A26" t="inlineStr">
        <is>
          <t>faixa_etaria</t>
        </is>
      </c>
      <c r="B26" t="inlineStr">
        <is>
          <t>45-54</t>
        </is>
      </c>
      <c r="C26" t="n">
        <v>39</v>
      </c>
      <c r="D26" s="11" t="n">
        <v>0.460223537146614</v>
      </c>
      <c r="E26" t="n">
        <v>0.652825793916348</v>
      </c>
      <c r="F26" t="n">
        <v>0.6410256410256411</v>
      </c>
      <c r="G26" t="inlineStr">
        <is>
          <t>Masculino (64.1%)</t>
        </is>
      </c>
      <c r="H26" t="inlineStr">
        <is>
          <t>35.9%</t>
        </is>
      </c>
      <c r="I26" t="inlineStr">
        <is>
          <t>64.1%</t>
        </is>
      </c>
    </row>
    <row r="27">
      <c r="A27" t="inlineStr">
        <is>
          <t>faixa_etaria</t>
        </is>
      </c>
      <c r="B27" t="inlineStr">
        <is>
          <t>55-64</t>
        </is>
      </c>
      <c r="C27" t="n">
        <v>51</v>
      </c>
      <c r="D27" s="11" t="n">
        <v>0.4844290657439446</v>
      </c>
      <c r="E27" t="n">
        <v>0.6774944044487072</v>
      </c>
      <c r="F27" t="n">
        <v>0.5882352941176471</v>
      </c>
      <c r="G27" t="inlineStr">
        <is>
          <t>Feminino (58.8%)</t>
        </is>
      </c>
      <c r="H27" t="inlineStr">
        <is>
          <t>58.8%</t>
        </is>
      </c>
      <c r="I27" t="inlineStr">
        <is>
          <t>41.2%</t>
        </is>
      </c>
    </row>
    <row r="28">
      <c r="A28" t="inlineStr">
        <is>
          <t>faixa_etaria</t>
        </is>
      </c>
      <c r="B28" t="inlineStr">
        <is>
          <t>65+</t>
        </is>
      </c>
      <c r="C28" t="n">
        <v>21</v>
      </c>
      <c r="D28" s="11" t="n">
        <v>0.4988662131519275</v>
      </c>
      <c r="E28" t="n">
        <v>0.6920129648318738</v>
      </c>
      <c r="F28" t="n">
        <v>0.5238095238095238</v>
      </c>
      <c r="G28" t="inlineStr">
        <is>
          <t>Masculino (52.4%)</t>
        </is>
      </c>
      <c r="H28" t="inlineStr">
        <is>
          <t>47.6%</t>
        </is>
      </c>
      <c r="I28" t="inlineStr">
        <is>
          <t>52.4%</t>
        </is>
      </c>
    </row>
  </sheetData>
  <conditionalFormatting sqref="A2:I28">
    <cfRule type="expression" priority="1" dxfId="2">
      <formula>$D2&lt;0.6</formula>
    </cfRule>
    <cfRule type="expression" priority="2" dxfId="1">
      <formula>AND($D2&gt;=0.6,$D2&lt;0.8)</formula>
    </cfRule>
    <cfRule type="expression" priority="3" dxfId="0">
      <formula>$D2&gt;=0.8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19">
    <outlinePr summaryBelow="1" summaryRight="1"/>
    <pageSetUpPr/>
  </sheetPr>
  <dimension ref="A1:L8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5" customWidth="1" min="1" max="1"/>
    <col width="18" customWidth="1" min="2" max="2"/>
    <col width="19" customWidth="1" min="3" max="3"/>
    <col width="46" customWidth="1" min="4" max="4"/>
    <col width="39" customWidth="1" min="5" max="5"/>
    <col width="14" customWidth="1" min="6" max="6"/>
    <col width="21" customWidth="1" min="7" max="7"/>
    <col width="14" customWidth="1" min="8" max="8"/>
    <col width="7" customWidth="1" min="9" max="9"/>
    <col width="24" customWidth="1" min="10" max="10"/>
    <col width="34" customWidth="1" min="11" max="11"/>
    <col width="20" customWidth="1" min="12" max="12"/>
  </cols>
  <sheetData>
    <row r="1">
      <c r="A1" s="6" t="inlineStr">
        <is>
          <t>Variável</t>
        </is>
      </c>
      <c r="B1" s="6" t="inlineStr">
        <is>
          <t>Categorias (Qtd)</t>
        </is>
      </c>
      <c r="C1" s="6" t="inlineStr">
        <is>
          <t>Total (registros)</t>
        </is>
      </c>
      <c r="D1" s="6" t="inlineStr">
        <is>
          <t>Índice de Simpson (Gênero) — média ponderada</t>
        </is>
      </c>
      <c r="E1" s="6" t="inlineStr">
        <is>
          <t>Dominância (Gênero) — média ponderada</t>
        </is>
      </c>
      <c r="F1" s="6" t="inlineStr">
        <is>
          <t>Baixa (&lt;0,6)</t>
        </is>
      </c>
      <c r="G1" s="6" t="inlineStr">
        <is>
          <t>Moderada (0,6–&lt;0,8)</t>
        </is>
      </c>
      <c r="H1" s="6" t="inlineStr">
        <is>
          <t>Alta (&gt;=0,8)</t>
        </is>
      </c>
      <c r="I1" s="6" t="inlineStr">
        <is>
          <t>Sinal</t>
        </is>
      </c>
      <c r="J1" s="6" t="inlineStr">
        <is>
          <t>Categoria mais crítica</t>
        </is>
      </c>
      <c r="K1" s="6" t="inlineStr">
        <is>
          <t>Predominante na crítica (Gênero)</t>
        </is>
      </c>
      <c r="L1" s="6" t="inlineStr">
        <is>
          <t>Simpson crítico</t>
        </is>
      </c>
    </row>
    <row r="2">
      <c r="A2" t="inlineStr">
        <is>
          <t>Cargo</t>
        </is>
      </c>
      <c r="B2" t="n">
        <v>5</v>
      </c>
      <c r="C2" t="n">
        <v>230</v>
      </c>
      <c r="D2" s="11" t="n">
        <v>0.4880007291766054</v>
      </c>
      <c r="E2" t="n">
        <v>0.5608695652173913</v>
      </c>
      <c r="F2" t="n">
        <v>5</v>
      </c>
      <c r="G2" t="n">
        <v>0</v>
      </c>
      <c r="H2" t="n">
        <v>0</v>
      </c>
      <c r="I2" t="inlineStr">
        <is>
          <t>🔴</t>
        </is>
      </c>
      <c r="J2" t="inlineStr">
        <is>
          <t>Pleno</t>
        </is>
      </c>
      <c r="K2" t="inlineStr">
        <is>
          <t>Masculino (62.7%)</t>
        </is>
      </c>
      <c r="L2" t="n">
        <v>0.4678102027177544</v>
      </c>
    </row>
    <row r="3">
      <c r="A3" t="inlineStr">
        <is>
          <t>Departamento</t>
        </is>
      </c>
      <c r="B3" t="n">
        <v>4</v>
      </c>
      <c r="C3" t="n">
        <v>230</v>
      </c>
      <c r="D3" s="11" t="n">
        <v>0.4806018797221727</v>
      </c>
      <c r="E3" t="n">
        <v>0.5869565217391305</v>
      </c>
      <c r="F3" t="n">
        <v>4</v>
      </c>
      <c r="G3" t="n">
        <v>0</v>
      </c>
      <c r="H3" t="n">
        <v>0</v>
      </c>
      <c r="I3" t="inlineStr">
        <is>
          <t>🔴</t>
        </is>
      </c>
      <c r="J3" t="inlineStr">
        <is>
          <t>Operações</t>
        </is>
      </c>
      <c r="K3" t="inlineStr">
        <is>
          <t>Masculino (64.3%)</t>
        </is>
      </c>
      <c r="L3" t="n">
        <v>0.4591836734693877</v>
      </c>
    </row>
    <row r="4">
      <c r="A4" t="inlineStr">
        <is>
          <t>Instrução</t>
        </is>
      </c>
      <c r="B4" t="n">
        <v>3</v>
      </c>
      <c r="C4" t="n">
        <v>230</v>
      </c>
      <c r="D4" s="11" t="n">
        <v>0.4957836420342102</v>
      </c>
      <c r="E4" t="n">
        <v>0.5391304347826087</v>
      </c>
      <c r="F4" t="n">
        <v>3</v>
      </c>
      <c r="G4" t="n">
        <v>0</v>
      </c>
      <c r="H4" t="n">
        <v>0</v>
      </c>
      <c r="I4" t="inlineStr">
        <is>
          <t>🔴</t>
        </is>
      </c>
      <c r="J4" t="inlineStr">
        <is>
          <t>Superior</t>
        </is>
      </c>
      <c r="K4" t="inlineStr">
        <is>
          <t>Masculino (56.6%)</t>
        </is>
      </c>
      <c r="L4" t="n">
        <v>0.4913784307723702</v>
      </c>
    </row>
    <row r="5">
      <c r="A5" t="inlineStr">
        <is>
          <t>Tipo_Contrato</t>
        </is>
      </c>
      <c r="B5" t="n">
        <v>3</v>
      </c>
      <c r="C5" t="n">
        <v>230</v>
      </c>
      <c r="D5" s="11" t="n">
        <v>0.454006283571501</v>
      </c>
      <c r="E5" t="n">
        <v>0.5869565217391303</v>
      </c>
      <c r="F5" t="n">
        <v>3</v>
      </c>
      <c r="G5" t="n">
        <v>0</v>
      </c>
      <c r="H5" t="n">
        <v>0</v>
      </c>
      <c r="I5" t="inlineStr">
        <is>
          <t>🔴</t>
        </is>
      </c>
      <c r="J5" t="inlineStr">
        <is>
          <t>Temporário</t>
        </is>
      </c>
      <c r="K5" t="inlineStr">
        <is>
          <t>Masculino (79.5%)</t>
        </is>
      </c>
      <c r="L5" t="n">
        <v>0.3261012491781723</v>
      </c>
    </row>
    <row r="6">
      <c r="A6" t="inlineStr">
        <is>
          <t>raca</t>
        </is>
      </c>
      <c r="B6" t="n">
        <v>4</v>
      </c>
      <c r="C6" t="n">
        <v>230</v>
      </c>
      <c r="D6" s="11" t="n">
        <v>0.4949615417854982</v>
      </c>
      <c r="E6" t="n">
        <v>0.5304347826086957</v>
      </c>
      <c r="F6" t="n">
        <v>4</v>
      </c>
      <c r="G6" t="n">
        <v>0</v>
      </c>
      <c r="H6" t="n">
        <v>0</v>
      </c>
      <c r="I6" t="inlineStr">
        <is>
          <t>🔴</t>
        </is>
      </c>
      <c r="J6" t="inlineStr">
        <is>
          <t>Amarela</t>
        </is>
      </c>
      <c r="K6" t="inlineStr">
        <is>
          <t>Feminino (100.0%)</t>
        </is>
      </c>
      <c r="L6" t="n">
        <v>0</v>
      </c>
    </row>
    <row r="7">
      <c r="A7" t="inlineStr">
        <is>
          <t>lider</t>
        </is>
      </c>
      <c r="B7" t="n">
        <v>2</v>
      </c>
      <c r="C7" t="n">
        <v>230</v>
      </c>
      <c r="D7" s="11" t="n">
        <v>0.498601134215501</v>
      </c>
      <c r="E7" t="n">
        <v>0.5260869565217391</v>
      </c>
      <c r="F7" t="n">
        <v>2</v>
      </c>
      <c r="G7" t="n">
        <v>0</v>
      </c>
      <c r="H7" t="n">
        <v>0</v>
      </c>
      <c r="I7" t="inlineStr">
        <is>
          <t>🔴</t>
        </is>
      </c>
      <c r="J7" t="inlineStr">
        <is>
          <t>Sim</t>
        </is>
      </c>
      <c r="K7" t="inlineStr">
        <is>
          <t>Masculino (53.0%)</t>
        </is>
      </c>
      <c r="L7" t="n">
        <v>0.4981474480151229</v>
      </c>
    </row>
    <row r="8">
      <c r="A8" t="inlineStr">
        <is>
          <t>faixa_etaria</t>
        </is>
      </c>
      <c r="B8" t="n">
        <v>6</v>
      </c>
      <c r="C8" t="n">
        <v>230</v>
      </c>
      <c r="D8" s="11" t="n">
        <v>0.4821225697184776</v>
      </c>
      <c r="E8" t="n">
        <v>0.5869565217391305</v>
      </c>
      <c r="F8" t="n">
        <v>6</v>
      </c>
      <c r="G8" t="n">
        <v>0</v>
      </c>
      <c r="H8" t="n">
        <v>0</v>
      </c>
      <c r="I8" t="inlineStr">
        <is>
          <t>🔴</t>
        </is>
      </c>
      <c r="J8" t="inlineStr">
        <is>
          <t>45-54</t>
        </is>
      </c>
      <c r="K8" t="inlineStr">
        <is>
          <t>Masculino (64.1%)</t>
        </is>
      </c>
      <c r="L8" t="n">
        <v>0.460223537146614</v>
      </c>
    </row>
  </sheetData>
  <conditionalFormatting sqref="A2:L8">
    <cfRule type="expression" priority="1" dxfId="2">
      <formula>$D2&lt;0.6</formula>
    </cfRule>
    <cfRule type="expression" priority="2" dxfId="1">
      <formula>AND($D2&gt;=0.6,$D2&lt;0.8)</formula>
    </cfRule>
    <cfRule type="expression" priority="3" dxfId="0">
      <formula>$D2&gt;=0.8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20">
    <outlinePr summaryBelow="1" summaryRight="1"/>
    <pageSetUpPr/>
  </sheetPr>
  <dimension ref="A1:K26"/>
  <sheetViews>
    <sheetView workbookViewId="0">
      <pane ySplit="1" topLeftCell="A2" activePane="bottomLeft" state="frozen"/>
      <selection pane="bottomLeft" activeCell="J1" sqref="J1:J1048576"/>
    </sheetView>
  </sheetViews>
  <sheetFormatPr baseColWidth="10" defaultColWidth="8.83203125" defaultRowHeight="15"/>
  <cols>
    <col width="15" customWidth="1" min="1" max="1"/>
    <col width="23" customWidth="1" min="2" max="2"/>
    <col width="7" customWidth="1" min="3" max="3"/>
    <col width="26" customWidth="1" min="4" max="5"/>
    <col width="21" customWidth="1" min="6" max="7"/>
    <col width="12" customWidth="1" min="8" max="8"/>
    <col width="11" customWidth="1" min="9" max="10"/>
    <col width="13" customWidth="1" min="11" max="11"/>
  </cols>
  <sheetData>
    <row r="1">
      <c r="A1" s="6" t="inlineStr">
        <is>
          <t>Variável</t>
        </is>
      </c>
      <c r="B1" s="6" t="inlineStr">
        <is>
          <t>Categoria da Variável</t>
        </is>
      </c>
      <c r="C1" s="6" t="inlineStr">
        <is>
          <t>Total</t>
        </is>
      </c>
      <c r="D1" s="6" t="inlineStr">
        <is>
          <t>Índice de Simpson (Raça)</t>
        </is>
      </c>
      <c r="E1" s="6" t="inlineStr">
        <is>
          <t>Índice de Shannon (Raça)</t>
        </is>
      </c>
      <c r="F1" s="6" t="inlineStr">
        <is>
          <t>Dominância (Raça)</t>
        </is>
      </c>
      <c r="G1" s="6" t="inlineStr">
        <is>
          <t>Predominante (Raça)</t>
        </is>
      </c>
      <c r="H1" s="6" t="inlineStr">
        <is>
          <t>Branca (%)</t>
        </is>
      </c>
      <c r="I1" s="6" t="inlineStr">
        <is>
          <t>Preta (%)</t>
        </is>
      </c>
      <c r="J1" s="6" t="inlineStr">
        <is>
          <t>Parda (%)</t>
        </is>
      </c>
      <c r="K1" s="6" t="inlineStr">
        <is>
          <t>Amarela (%)</t>
        </is>
      </c>
    </row>
    <row r="2">
      <c r="A2" t="inlineStr">
        <is>
          <t>Gênero</t>
        </is>
      </c>
      <c r="B2" t="inlineStr">
        <is>
          <t>Feminino</t>
        </is>
      </c>
      <c r="C2" t="n">
        <v>109</v>
      </c>
      <c r="D2" s="11" t="n">
        <v>0.6073562831411496</v>
      </c>
      <c r="E2" t="n">
        <v>1.027186414809425</v>
      </c>
      <c r="F2" t="n">
        <v>0.4770642201834863</v>
      </c>
      <c r="G2" t="inlineStr">
        <is>
          <t>Parda (47.7%)</t>
        </is>
      </c>
      <c r="H2" t="inlineStr">
        <is>
          <t>38.5%</t>
        </is>
      </c>
      <c r="I2" t="inlineStr">
        <is>
          <t>12.8%</t>
        </is>
      </c>
      <c r="J2" t="inlineStr">
        <is>
          <t>47.7%</t>
        </is>
      </c>
      <c r="K2" t="inlineStr">
        <is>
          <t>0.9%</t>
        </is>
      </c>
    </row>
    <row r="3">
      <c r="A3" t="inlineStr">
        <is>
          <t>Gênero</t>
        </is>
      </c>
      <c r="B3" t="inlineStr">
        <is>
          <t>Masculino</t>
        </is>
      </c>
      <c r="C3" t="n">
        <v>121</v>
      </c>
      <c r="D3" s="11" t="n">
        <v>0.6009152380301892</v>
      </c>
      <c r="E3" t="n">
        <v>0.9819748773896496</v>
      </c>
      <c r="F3" t="n">
        <v>0.4380165289256198</v>
      </c>
      <c r="G3" t="inlineStr">
        <is>
          <t>Parda (43.8%)</t>
        </is>
      </c>
      <c r="H3" t="inlineStr">
        <is>
          <t>43.8%</t>
        </is>
      </c>
      <c r="I3" t="inlineStr">
        <is>
          <t>12.4%</t>
        </is>
      </c>
      <c r="J3" t="inlineStr">
        <is>
          <t>43.8%</t>
        </is>
      </c>
      <c r="K3" t="inlineStr">
        <is>
          <t>0.0%</t>
        </is>
      </c>
    </row>
    <row r="4">
      <c r="A4" t="inlineStr">
        <is>
          <t>Cargo</t>
        </is>
      </c>
      <c r="B4" t="inlineStr">
        <is>
          <t>Diretor</t>
        </is>
      </c>
      <c r="C4" t="n">
        <v>10</v>
      </c>
      <c r="D4" s="11" t="n">
        <v>0.6399999999999999</v>
      </c>
      <c r="E4" t="n">
        <v>1.054920167986144</v>
      </c>
      <c r="F4" t="n">
        <v>0.4</v>
      </c>
      <c r="G4" t="inlineStr">
        <is>
          <t>Branca (40.0%)</t>
        </is>
      </c>
      <c r="H4" t="inlineStr">
        <is>
          <t>40.0%</t>
        </is>
      </c>
      <c r="I4" t="inlineStr">
        <is>
          <t>20.0%</t>
        </is>
      </c>
      <c r="J4" t="inlineStr">
        <is>
          <t>40.0%</t>
        </is>
      </c>
      <c r="K4" t="inlineStr">
        <is>
          <t>0.0%</t>
        </is>
      </c>
    </row>
    <row r="5">
      <c r="A5" t="inlineStr">
        <is>
          <t>Cargo</t>
        </is>
      </c>
      <c r="B5" t="inlineStr">
        <is>
          <t>Gerente</t>
        </is>
      </c>
      <c r="C5" t="n">
        <v>22</v>
      </c>
      <c r="D5" s="11" t="n">
        <v>0.5743801652892562</v>
      </c>
      <c r="E5" t="n">
        <v>0.9302168370888639</v>
      </c>
      <c r="F5" t="n">
        <v>0.5</v>
      </c>
      <c r="G5" t="inlineStr">
        <is>
          <t>Branca (50.0%)</t>
        </is>
      </c>
      <c r="H5" t="inlineStr">
        <is>
          <t>50.0%</t>
        </is>
      </c>
      <c r="I5" t="inlineStr">
        <is>
          <t>9.1%</t>
        </is>
      </c>
      <c r="J5" t="inlineStr">
        <is>
          <t>40.9%</t>
        </is>
      </c>
      <c r="K5" t="inlineStr">
        <is>
          <t>0.0%</t>
        </is>
      </c>
    </row>
    <row r="6">
      <c r="A6" t="inlineStr">
        <is>
          <t>Cargo</t>
        </is>
      </c>
      <c r="B6" t="inlineStr">
        <is>
          <t>Júnior</t>
        </is>
      </c>
      <c r="C6" t="n">
        <v>79</v>
      </c>
      <c r="D6" s="11" t="n">
        <v>0.5553597179939112</v>
      </c>
      <c r="E6" t="n">
        <v>0.9287552450384349</v>
      </c>
      <c r="F6" t="n">
        <v>0.5443037974683544</v>
      </c>
      <c r="G6" t="inlineStr">
        <is>
          <t>Parda (54.4%)</t>
        </is>
      </c>
      <c r="H6" t="inlineStr">
        <is>
          <t>38.0%</t>
        </is>
      </c>
      <c r="I6" t="inlineStr">
        <is>
          <t>6.3%</t>
        </is>
      </c>
      <c r="J6" t="inlineStr">
        <is>
          <t>54.4%</t>
        </is>
      </c>
      <c r="K6" t="inlineStr">
        <is>
          <t>1.3%</t>
        </is>
      </c>
    </row>
    <row r="7">
      <c r="A7" t="inlineStr">
        <is>
          <t>Cargo</t>
        </is>
      </c>
      <c r="B7" t="inlineStr">
        <is>
          <t>Pleno</t>
        </is>
      </c>
      <c r="C7" t="n">
        <v>67</v>
      </c>
      <c r="D7" s="11" t="n">
        <v>0.6308754733793718</v>
      </c>
      <c r="E7" t="n">
        <v>1.03889856768233</v>
      </c>
      <c r="F7" t="n">
        <v>0.417910447761194</v>
      </c>
      <c r="G7" t="inlineStr">
        <is>
          <t>Parda (41.8%)</t>
        </is>
      </c>
      <c r="H7" t="inlineStr">
        <is>
          <t>40.3%</t>
        </is>
      </c>
      <c r="I7" t="inlineStr">
        <is>
          <t>17.9%</t>
        </is>
      </c>
      <c r="J7" t="inlineStr">
        <is>
          <t>41.8%</t>
        </is>
      </c>
      <c r="K7" t="inlineStr">
        <is>
          <t>0.0%</t>
        </is>
      </c>
    </row>
    <row r="8">
      <c r="A8" t="inlineStr">
        <is>
          <t>Cargo</t>
        </is>
      </c>
      <c r="B8" t="inlineStr">
        <is>
          <t>Sênior</t>
        </is>
      </c>
      <c r="C8" t="n">
        <v>52</v>
      </c>
      <c r="D8" s="11" t="n">
        <v>0.617603550295858</v>
      </c>
      <c r="E8" t="n">
        <v>1.014957747581408</v>
      </c>
      <c r="F8" t="n">
        <v>0.4423076923076923</v>
      </c>
      <c r="G8" t="inlineStr">
        <is>
          <t>Branca (44.2%)</t>
        </is>
      </c>
      <c r="H8" t="inlineStr">
        <is>
          <t>44.2%</t>
        </is>
      </c>
      <c r="I8" t="inlineStr">
        <is>
          <t>15.4%</t>
        </is>
      </c>
      <c r="J8" t="inlineStr">
        <is>
          <t>40.4%</t>
        </is>
      </c>
      <c r="K8" t="inlineStr">
        <is>
          <t>0.0%</t>
        </is>
      </c>
    </row>
    <row r="9">
      <c r="A9" t="inlineStr">
        <is>
          <t>Departamento</t>
        </is>
      </c>
      <c r="B9" t="inlineStr">
        <is>
          <t>Comercial</t>
        </is>
      </c>
      <c r="C9" t="n">
        <v>46</v>
      </c>
      <c r="D9" s="11" t="n">
        <v>0.6039697542533082</v>
      </c>
      <c r="E9" t="n">
        <v>0.9888616440603433</v>
      </c>
      <c r="F9" t="n">
        <v>0.4565217391304348</v>
      </c>
      <c r="G9" t="inlineStr">
        <is>
          <t>Branca (45.7%)</t>
        </is>
      </c>
      <c r="H9" t="inlineStr">
        <is>
          <t>45.7%</t>
        </is>
      </c>
      <c r="I9" t="inlineStr">
        <is>
          <t>13.0%</t>
        </is>
      </c>
      <c r="J9" t="inlineStr">
        <is>
          <t>41.3%</t>
        </is>
      </c>
      <c r="K9" t="inlineStr">
        <is>
          <t>0.0%</t>
        </is>
      </c>
    </row>
    <row r="10">
      <c r="A10" t="inlineStr">
        <is>
          <t>Departamento</t>
        </is>
      </c>
      <c r="B10" t="inlineStr">
        <is>
          <t>Operações</t>
        </is>
      </c>
      <c r="C10" t="n">
        <v>84</v>
      </c>
      <c r="D10" s="11" t="n">
        <v>0.5966553287981859</v>
      </c>
      <c r="E10" t="n">
        <v>0.9806670927989912</v>
      </c>
      <c r="F10" t="n">
        <v>0.5</v>
      </c>
      <c r="G10" t="inlineStr">
        <is>
          <t>Parda (50.0%)</t>
        </is>
      </c>
      <c r="H10" t="inlineStr">
        <is>
          <t>36.9%</t>
        </is>
      </c>
      <c r="I10" t="inlineStr">
        <is>
          <t>13.1%</t>
        </is>
      </c>
      <c r="J10" t="inlineStr">
        <is>
          <t>50.0%</t>
        </is>
      </c>
      <c r="K10" t="inlineStr">
        <is>
          <t>0.0%</t>
        </is>
      </c>
    </row>
    <row r="11">
      <c r="A11" t="inlineStr">
        <is>
          <t>Departamento</t>
        </is>
      </c>
      <c r="B11" t="inlineStr">
        <is>
          <t>RH</t>
        </is>
      </c>
      <c r="C11" t="n">
        <v>38</v>
      </c>
      <c r="D11" s="11" t="n">
        <v>0.5221606648199446</v>
      </c>
      <c r="E11" t="n">
        <v>0.7933947828833465</v>
      </c>
      <c r="F11" t="n">
        <v>0.5263157894736842</v>
      </c>
      <c r="G11" t="inlineStr">
        <is>
          <t>Parda (52.6%)</t>
        </is>
      </c>
      <c r="H11" t="inlineStr">
        <is>
          <t>44.7%</t>
        </is>
      </c>
      <c r="I11" t="inlineStr">
        <is>
          <t>2.6%</t>
        </is>
      </c>
      <c r="J11" t="inlineStr">
        <is>
          <t>52.6%</t>
        </is>
      </c>
      <c r="K11" t="inlineStr">
        <is>
          <t>0.0%</t>
        </is>
      </c>
    </row>
    <row r="12">
      <c r="A12" t="inlineStr">
        <is>
          <t>Departamento</t>
        </is>
      </c>
      <c r="B12" t="inlineStr">
        <is>
          <t>TI</t>
        </is>
      </c>
      <c r="C12" t="n">
        <v>62</v>
      </c>
      <c r="D12" s="11" t="n">
        <v>0.6425598335067637</v>
      </c>
      <c r="E12" t="n">
        <v>1.105188418630716</v>
      </c>
      <c r="F12" t="n">
        <v>0.4193548387096774</v>
      </c>
      <c r="G12" t="inlineStr">
        <is>
          <t>Branca (41.9%)</t>
        </is>
      </c>
      <c r="H12" t="inlineStr">
        <is>
          <t>41.9%</t>
        </is>
      </c>
      <c r="I12" t="inlineStr">
        <is>
          <t>17.7%</t>
        </is>
      </c>
      <c r="J12" t="inlineStr">
        <is>
          <t>38.7%</t>
        </is>
      </c>
      <c r="K12" t="inlineStr">
        <is>
          <t>1.6%</t>
        </is>
      </c>
    </row>
    <row r="13">
      <c r="A13" t="inlineStr">
        <is>
          <t>Instrução</t>
        </is>
      </c>
      <c r="B13" t="inlineStr">
        <is>
          <t>Médio</t>
        </is>
      </c>
      <c r="C13" t="n">
        <v>82</v>
      </c>
      <c r="D13" s="11" t="n">
        <v>0.6162998215348008</v>
      </c>
      <c r="E13" t="n">
        <v>1.048602658276299</v>
      </c>
      <c r="F13" t="n">
        <v>0.451219512195122</v>
      </c>
      <c r="G13" t="inlineStr">
        <is>
          <t>Parda (45.1%)</t>
        </is>
      </c>
      <c r="H13" t="inlineStr">
        <is>
          <t>40.2%</t>
        </is>
      </c>
      <c r="I13" t="inlineStr">
        <is>
          <t>13.4%</t>
        </is>
      </c>
      <c r="J13" t="inlineStr">
        <is>
          <t>45.1%</t>
        </is>
      </c>
      <c r="K13" t="inlineStr">
        <is>
          <t>1.2%</t>
        </is>
      </c>
    </row>
    <row r="14">
      <c r="A14" t="inlineStr">
        <is>
          <t>Instrução</t>
        </is>
      </c>
      <c r="B14" t="inlineStr">
        <is>
          <t>Pós-graduação</t>
        </is>
      </c>
      <c r="C14" t="n">
        <v>49</v>
      </c>
      <c r="D14" s="11" t="n">
        <v>0.5664306538942108</v>
      </c>
      <c r="E14" t="n">
        <v>0.9136219606154348</v>
      </c>
      <c r="F14" t="n">
        <v>0.5102040816326531</v>
      </c>
      <c r="G14" t="inlineStr">
        <is>
          <t>Parda (51.0%)</t>
        </is>
      </c>
      <c r="H14" t="inlineStr">
        <is>
          <t>40.8%</t>
        </is>
      </c>
      <c r="I14" t="inlineStr">
        <is>
          <t>8.2%</t>
        </is>
      </c>
      <c r="J14" t="inlineStr">
        <is>
          <t>51.0%</t>
        </is>
      </c>
      <c r="K14" t="inlineStr">
        <is>
          <t>0.0%</t>
        </is>
      </c>
    </row>
    <row r="15">
      <c r="A15" t="inlineStr">
        <is>
          <t>Instrução</t>
        </is>
      </c>
      <c r="B15" t="inlineStr">
        <is>
          <t>Superior</t>
        </is>
      </c>
      <c r="C15" t="n">
        <v>99</v>
      </c>
      <c r="D15" s="11" t="n">
        <v>0.6113661871237628</v>
      </c>
      <c r="E15" t="n">
        <v>1.002589228343294</v>
      </c>
      <c r="F15" t="n">
        <v>0.4343434343434344</v>
      </c>
      <c r="G15" t="inlineStr">
        <is>
          <t>Parda (43.4%)</t>
        </is>
      </c>
      <c r="H15" t="inlineStr">
        <is>
          <t>42.4%</t>
        </is>
      </c>
      <c r="I15" t="inlineStr">
        <is>
          <t>14.1%</t>
        </is>
      </c>
      <c r="J15" t="inlineStr">
        <is>
          <t>43.4%</t>
        </is>
      </c>
      <c r="K15" t="inlineStr">
        <is>
          <t>0.0%</t>
        </is>
      </c>
    </row>
    <row r="16">
      <c r="A16" t="inlineStr">
        <is>
          <t>Tipo_Contrato</t>
        </is>
      </c>
      <c r="B16" t="inlineStr">
        <is>
          <t>Efetivo</t>
        </is>
      </c>
      <c r="C16" t="n">
        <v>165</v>
      </c>
      <c r="D16" s="11" t="n">
        <v>0.6101744719926538</v>
      </c>
      <c r="E16" t="n">
        <v>1.000303083118874</v>
      </c>
      <c r="F16" t="n">
        <v>0.4363636363636363</v>
      </c>
      <c r="G16" t="inlineStr">
        <is>
          <t>Branca (43.6%)</t>
        </is>
      </c>
      <c r="H16" t="inlineStr">
        <is>
          <t>43.6%</t>
        </is>
      </c>
      <c r="I16" t="inlineStr">
        <is>
          <t>13.9%</t>
        </is>
      </c>
      <c r="J16" t="inlineStr">
        <is>
          <t>42.4%</t>
        </is>
      </c>
      <c r="K16" t="inlineStr">
        <is>
          <t>0.0%</t>
        </is>
      </c>
    </row>
    <row r="17">
      <c r="A17" t="inlineStr">
        <is>
          <t>Tipo_Contrato</t>
        </is>
      </c>
      <c r="B17" t="inlineStr">
        <is>
          <t>Temporário</t>
        </is>
      </c>
      <c r="C17" t="n">
        <v>39</v>
      </c>
      <c r="D17" s="11" t="n">
        <v>0.547008547008547</v>
      </c>
      <c r="E17" t="n">
        <v>0.9076533330961591</v>
      </c>
      <c r="F17" t="n">
        <v>0.5897435897435898</v>
      </c>
      <c r="G17" t="inlineStr">
        <is>
          <t>Parda (59.0%)</t>
        </is>
      </c>
      <c r="H17" t="inlineStr">
        <is>
          <t>30.8%</t>
        </is>
      </c>
      <c r="I17" t="inlineStr">
        <is>
          <t>10.3%</t>
        </is>
      </c>
      <c r="J17" t="inlineStr">
        <is>
          <t>59.0%</t>
        </is>
      </c>
      <c r="K17" t="inlineStr">
        <is>
          <t>0.0%</t>
        </is>
      </c>
    </row>
    <row r="18">
      <c r="A18" t="inlineStr">
        <is>
          <t>Tipo_Contrato</t>
        </is>
      </c>
      <c r="B18" t="inlineStr">
        <is>
          <t>Terceirizado</t>
        </is>
      </c>
      <c r="C18" t="n">
        <v>26</v>
      </c>
      <c r="D18" s="11" t="n">
        <v>0.6005917159763313</v>
      </c>
      <c r="E18" t="n">
        <v>1.043403378046176</v>
      </c>
      <c r="F18" t="n">
        <v>0.4615384615384616</v>
      </c>
      <c r="G18" t="inlineStr">
        <is>
          <t>Parda (46.2%)</t>
        </is>
      </c>
      <c r="H18" t="inlineStr">
        <is>
          <t>42.3%</t>
        </is>
      </c>
      <c r="I18" t="inlineStr">
        <is>
          <t>7.7%</t>
        </is>
      </c>
      <c r="J18" t="inlineStr">
        <is>
          <t>46.2%</t>
        </is>
      </c>
      <c r="K18" t="inlineStr">
        <is>
          <t>3.8%</t>
        </is>
      </c>
    </row>
    <row r="19">
      <c r="A19" t="inlineStr">
        <is>
          <t>lider</t>
        </is>
      </c>
      <c r="B19" t="inlineStr">
        <is>
          <t>Não</t>
        </is>
      </c>
      <c r="C19" t="n">
        <v>115</v>
      </c>
      <c r="D19" s="11" t="n">
        <v>0.6047637051039698</v>
      </c>
      <c r="E19" t="n">
        <v>0.9897751292946025</v>
      </c>
      <c r="F19" t="n">
        <v>0.4434782608695652</v>
      </c>
      <c r="G19" t="inlineStr">
        <is>
          <t>Parda (44.3%)</t>
        </is>
      </c>
      <c r="H19" t="inlineStr">
        <is>
          <t>42.6%</t>
        </is>
      </c>
      <c r="I19" t="inlineStr">
        <is>
          <t>13.0%</t>
        </is>
      </c>
      <c r="J19" t="inlineStr">
        <is>
          <t>44.3%</t>
        </is>
      </c>
      <c r="K19" t="inlineStr">
        <is>
          <t>0.0%</t>
        </is>
      </c>
    </row>
    <row r="20">
      <c r="A20" t="inlineStr">
        <is>
          <t>lider</t>
        </is>
      </c>
      <c r="B20" t="inlineStr">
        <is>
          <t>Sim</t>
        </is>
      </c>
      <c r="C20" t="n">
        <v>115</v>
      </c>
      <c r="D20" s="11" t="n">
        <v>0.6046124763705103</v>
      </c>
      <c r="E20" t="n">
        <v>1.019110864297313</v>
      </c>
      <c r="F20" t="n">
        <v>0.4695652173913044</v>
      </c>
      <c r="G20" t="inlineStr">
        <is>
          <t>Parda (47.0%)</t>
        </is>
      </c>
      <c r="H20" t="inlineStr">
        <is>
          <t>40.0%</t>
        </is>
      </c>
      <c r="I20" t="inlineStr">
        <is>
          <t>12.2%</t>
        </is>
      </c>
      <c r="J20" t="inlineStr">
        <is>
          <t>47.0%</t>
        </is>
      </c>
      <c r="K20" t="inlineStr">
        <is>
          <t>0.9%</t>
        </is>
      </c>
    </row>
    <row r="21">
      <c r="A21" t="inlineStr">
        <is>
          <t>faixa_etaria</t>
        </is>
      </c>
      <c r="B21" t="inlineStr">
        <is>
          <t>18-24</t>
        </is>
      </c>
      <c r="C21" t="n">
        <v>28</v>
      </c>
      <c r="D21" s="11" t="n">
        <v>0.5841836734693877</v>
      </c>
      <c r="E21" t="n">
        <v>0.9529371001252031</v>
      </c>
      <c r="F21" t="n">
        <v>0.5</v>
      </c>
      <c r="G21" t="inlineStr">
        <is>
          <t>Branca (50.0%)</t>
        </is>
      </c>
      <c r="H21" t="inlineStr">
        <is>
          <t>50.0%</t>
        </is>
      </c>
      <c r="I21" t="inlineStr">
        <is>
          <t>10.7%</t>
        </is>
      </c>
      <c r="J21" t="inlineStr">
        <is>
          <t>39.3%</t>
        </is>
      </c>
      <c r="K21" t="inlineStr">
        <is>
          <t>0.0%</t>
        </is>
      </c>
    </row>
    <row r="22">
      <c r="A22" t="inlineStr">
        <is>
          <t>faixa_etaria</t>
        </is>
      </c>
      <c r="B22" t="inlineStr">
        <is>
          <t>25-34</t>
        </is>
      </c>
      <c r="C22" t="n">
        <v>37</v>
      </c>
      <c r="D22" s="11" t="n">
        <v>0.620891161431702</v>
      </c>
      <c r="E22" t="n">
        <v>1.095465333716852</v>
      </c>
      <c r="F22" t="n">
        <v>0.5135135135135135</v>
      </c>
      <c r="G22" t="inlineStr">
        <is>
          <t>Parda (51.4%)</t>
        </is>
      </c>
      <c r="H22" t="inlineStr">
        <is>
          <t>29.7%</t>
        </is>
      </c>
      <c r="I22" t="inlineStr">
        <is>
          <t>16.2%</t>
        </is>
      </c>
      <c r="J22" t="inlineStr">
        <is>
          <t>51.4%</t>
        </is>
      </c>
      <c r="K22" t="inlineStr">
        <is>
          <t>2.7%</t>
        </is>
      </c>
    </row>
    <row r="23">
      <c r="A23" t="inlineStr">
        <is>
          <t>faixa_etaria</t>
        </is>
      </c>
      <c r="B23" t="inlineStr">
        <is>
          <t>35-44</t>
        </is>
      </c>
      <c r="C23" t="n">
        <v>54</v>
      </c>
      <c r="D23" s="11" t="n">
        <v>0.575445816186557</v>
      </c>
      <c r="E23" t="n">
        <v>0.932729992524083</v>
      </c>
      <c r="F23" t="n">
        <v>0.5</v>
      </c>
      <c r="G23" t="inlineStr">
        <is>
          <t>Parda (50.0%)</t>
        </is>
      </c>
      <c r="H23" t="inlineStr">
        <is>
          <t>40.7%</t>
        </is>
      </c>
      <c r="I23" t="inlineStr">
        <is>
          <t>9.3%</t>
        </is>
      </c>
      <c r="J23" t="inlineStr">
        <is>
          <t>50.0%</t>
        </is>
      </c>
      <c r="K23" t="inlineStr">
        <is>
          <t>0.0%</t>
        </is>
      </c>
    </row>
    <row r="24">
      <c r="A24" t="inlineStr">
        <is>
          <t>faixa_etaria</t>
        </is>
      </c>
      <c r="B24" t="inlineStr">
        <is>
          <t>45-54</t>
        </is>
      </c>
      <c r="C24" t="n">
        <v>39</v>
      </c>
      <c r="D24" s="11" t="n">
        <v>0.5470085470085471</v>
      </c>
      <c r="E24" t="n">
        <v>0.8595276305549484</v>
      </c>
      <c r="F24" t="n">
        <v>0.4871794871794872</v>
      </c>
      <c r="G24" t="inlineStr">
        <is>
          <t>Branca (48.7%)</t>
        </is>
      </c>
      <c r="H24" t="inlineStr">
        <is>
          <t>48.7%</t>
        </is>
      </c>
      <c r="I24" t="inlineStr">
        <is>
          <t>5.1%</t>
        </is>
      </c>
      <c r="J24" t="inlineStr">
        <is>
          <t>46.2%</t>
        </is>
      </c>
      <c r="K24" t="inlineStr">
        <is>
          <t>0.0%</t>
        </is>
      </c>
    </row>
    <row r="25">
      <c r="A25" t="inlineStr">
        <is>
          <t>faixa_etaria</t>
        </is>
      </c>
      <c r="B25" t="inlineStr">
        <is>
          <t>55-64</t>
        </is>
      </c>
      <c r="C25" t="n">
        <v>51</v>
      </c>
      <c r="D25" s="11" t="n">
        <v>0.6366782006920415</v>
      </c>
      <c r="E25" t="n">
        <v>1.049999642371664</v>
      </c>
      <c r="F25" t="n">
        <v>0.4313725490196079</v>
      </c>
      <c r="G25" t="inlineStr">
        <is>
          <t>Branca (43.1%)</t>
        </is>
      </c>
      <c r="H25" t="inlineStr">
        <is>
          <t>43.1%</t>
        </is>
      </c>
      <c r="I25" t="inlineStr">
        <is>
          <t>19.6%</t>
        </is>
      </c>
      <c r="J25" t="inlineStr">
        <is>
          <t>37.3%</t>
        </is>
      </c>
      <c r="K25" t="inlineStr">
        <is>
          <t>0.0%</t>
        </is>
      </c>
    </row>
    <row r="26">
      <c r="A26" t="inlineStr">
        <is>
          <t>faixa_etaria</t>
        </is>
      </c>
      <c r="B26" t="inlineStr">
        <is>
          <t>65+</t>
        </is>
      </c>
      <c r="C26" t="n">
        <v>21</v>
      </c>
      <c r="D26" s="11" t="n">
        <v>0.5941043083900226</v>
      </c>
      <c r="E26" t="n">
        <v>0.9829007277151565</v>
      </c>
      <c r="F26" t="n">
        <v>0.5238095238095238</v>
      </c>
      <c r="G26" t="inlineStr">
        <is>
          <t>Parda (52.4%)</t>
        </is>
      </c>
      <c r="H26" t="inlineStr">
        <is>
          <t>33.3%</t>
        </is>
      </c>
      <c r="I26" t="inlineStr">
        <is>
          <t>14.3%</t>
        </is>
      </c>
      <c r="J26" t="inlineStr">
        <is>
          <t>52.4%</t>
        </is>
      </c>
      <c r="K26" t="inlineStr">
        <is>
          <t>0.0%</t>
        </is>
      </c>
    </row>
  </sheetData>
  <conditionalFormatting sqref="A2:K26">
    <cfRule type="expression" priority="1" dxfId="2">
      <formula>$D2&lt;0.6</formula>
    </cfRule>
    <cfRule type="expression" priority="2" dxfId="1">
      <formula>AND($D2&gt;=0.6,$D2&lt;0.8)</formula>
    </cfRule>
    <cfRule type="expression" priority="3" dxfId="0">
      <formula>$D2&gt;=0.8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21">
    <outlinePr summaryBelow="1" summaryRight="1"/>
    <pageSetUpPr/>
  </sheetPr>
  <dimension ref="A1:L8"/>
  <sheetViews>
    <sheetView zoomScale="81" zoomScaleNormal="81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5" customWidth="1" min="1" max="1"/>
    <col width="18" customWidth="1" min="2" max="2"/>
    <col width="19" customWidth="1" min="3" max="3"/>
    <col width="44" customWidth="1" min="4" max="4"/>
    <col width="37" customWidth="1" min="5" max="5"/>
    <col width="14" customWidth="1" min="6" max="6"/>
    <col width="21" customWidth="1" min="7" max="7"/>
    <col width="14" customWidth="1" min="8" max="8"/>
    <col width="7" customWidth="1" min="9" max="9"/>
    <col width="24" customWidth="1" min="10" max="10"/>
    <col width="32" customWidth="1" min="11" max="11"/>
    <col width="20" customWidth="1" min="12" max="12"/>
  </cols>
  <sheetData>
    <row r="1">
      <c r="A1" s="6" t="inlineStr">
        <is>
          <t>Variável</t>
        </is>
      </c>
      <c r="B1" s="6" t="inlineStr">
        <is>
          <t>Categorias (Qtd)</t>
        </is>
      </c>
      <c r="C1" s="6" t="inlineStr">
        <is>
          <t>Total (registros)</t>
        </is>
      </c>
      <c r="D1" s="6" t="inlineStr">
        <is>
          <t>Índice de Simpson (Raça) — média ponderada</t>
        </is>
      </c>
      <c r="E1" s="6" t="inlineStr">
        <is>
          <t>Dominância (Raça) — média ponderada</t>
        </is>
      </c>
      <c r="F1" s="6" t="inlineStr">
        <is>
          <t>Baixa (&lt;0,6)</t>
        </is>
      </c>
      <c r="G1" s="6" t="inlineStr">
        <is>
          <t>Moderada (0,6–&lt;0,8)</t>
        </is>
      </c>
      <c r="H1" s="6" t="inlineStr">
        <is>
          <t>Alta (&gt;=0,8)</t>
        </is>
      </c>
      <c r="I1" s="6" t="inlineStr">
        <is>
          <t>Sinal</t>
        </is>
      </c>
      <c r="J1" s="6" t="inlineStr">
        <is>
          <t>Categoria mais crítica</t>
        </is>
      </c>
      <c r="K1" s="6" t="inlineStr">
        <is>
          <t>Predominante na crítica (Raça)</t>
        </is>
      </c>
      <c r="L1" s="6" t="inlineStr">
        <is>
          <t>Simpson crítico</t>
        </is>
      </c>
    </row>
    <row r="2">
      <c r="A2" t="inlineStr">
        <is>
          <t>Gênero</t>
        </is>
      </c>
      <c r="B2" t="n">
        <v>2</v>
      </c>
      <c r="C2" t="n">
        <v>230</v>
      </c>
      <c r="D2" s="11" t="n">
        <v>0.6039677333219053</v>
      </c>
      <c r="E2" t="n">
        <v>0.4565217391304348</v>
      </c>
      <c r="F2" t="n">
        <v>0</v>
      </c>
      <c r="G2" t="n">
        <v>2</v>
      </c>
      <c r="H2" t="n">
        <v>0</v>
      </c>
      <c r="I2" t="inlineStr">
        <is>
          <t>🟡</t>
        </is>
      </c>
      <c r="J2" t="inlineStr">
        <is>
          <t>Masculino</t>
        </is>
      </c>
      <c r="K2" t="inlineStr">
        <is>
          <t>Parda (43.8%)</t>
        </is>
      </c>
      <c r="L2" t="n">
        <v>0.6009152380301892</v>
      </c>
    </row>
    <row r="3">
      <c r="A3" t="inlineStr">
        <is>
          <t>Cargo</t>
        </is>
      </c>
      <c r="B3" t="n">
        <v>5</v>
      </c>
      <c r="C3" t="n">
        <v>230</v>
      </c>
      <c r="D3" s="11" t="n">
        <v>0.5969296638681962</v>
      </c>
      <c r="E3" t="n">
        <v>0.4739130434782609</v>
      </c>
      <c r="F3" t="n">
        <v>2</v>
      </c>
      <c r="G3" t="n">
        <v>3</v>
      </c>
      <c r="H3" t="n">
        <v>0</v>
      </c>
      <c r="I3" t="inlineStr">
        <is>
          <t>🔴</t>
        </is>
      </c>
      <c r="J3" t="inlineStr">
        <is>
          <t>Júnior</t>
        </is>
      </c>
      <c r="K3" t="inlineStr">
        <is>
          <t>Parda (54.4%)</t>
        </is>
      </c>
      <c r="L3" t="n">
        <v>0.5553597179939112</v>
      </c>
    </row>
    <row r="4">
      <c r="A4" t="inlineStr">
        <is>
          <t>Departamento</t>
        </is>
      </c>
      <c r="B4" t="n">
        <v>4</v>
      </c>
      <c r="C4" t="n">
        <v>230</v>
      </c>
      <c r="D4" s="11" t="n">
        <v>0.5981846576316394</v>
      </c>
      <c r="E4" t="n">
        <v>0.4739130434782609</v>
      </c>
      <c r="F4" t="n">
        <v>2</v>
      </c>
      <c r="G4" t="n">
        <v>2</v>
      </c>
      <c r="H4" t="n">
        <v>0</v>
      </c>
      <c r="I4" t="inlineStr">
        <is>
          <t>🔴</t>
        </is>
      </c>
      <c r="J4" t="inlineStr">
        <is>
          <t>RH</t>
        </is>
      </c>
      <c r="K4" t="inlineStr">
        <is>
          <t>Parda (52.6%)</t>
        </is>
      </c>
      <c r="L4" t="n">
        <v>0.5221606648199446</v>
      </c>
    </row>
    <row r="5">
      <c r="A5" t="inlineStr">
        <is>
          <t>Instrução</t>
        </is>
      </c>
      <c r="B5" t="n">
        <v>3</v>
      </c>
      <c r="C5" t="n">
        <v>230</v>
      </c>
      <c r="D5" s="11" t="n">
        <v>0.6035519127474892</v>
      </c>
      <c r="E5" t="n">
        <v>0.4565217391304348</v>
      </c>
      <c r="F5" t="n">
        <v>1</v>
      </c>
      <c r="G5" t="n">
        <v>2</v>
      </c>
      <c r="H5" t="n">
        <v>0</v>
      </c>
      <c r="I5" t="inlineStr">
        <is>
          <t>🟡</t>
        </is>
      </c>
      <c r="J5" t="inlineStr">
        <is>
          <t>Pós-graduação</t>
        </is>
      </c>
      <c r="K5" t="inlineStr">
        <is>
          <t>Parda (51.0%)</t>
        </is>
      </c>
      <c r="L5" t="n">
        <v>0.5664306538942108</v>
      </c>
    </row>
    <row r="6">
      <c r="A6" t="inlineStr">
        <is>
          <t>Tipo_Contrato</t>
        </is>
      </c>
      <c r="B6" t="n">
        <v>3</v>
      </c>
      <c r="C6" t="n">
        <v>230</v>
      </c>
      <c r="D6" s="11" t="n">
        <v>0.5983804601195907</v>
      </c>
      <c r="E6" t="n">
        <v>0.4652173913043478</v>
      </c>
      <c r="F6" t="n">
        <v>1</v>
      </c>
      <c r="G6" t="n">
        <v>2</v>
      </c>
      <c r="H6" t="n">
        <v>0</v>
      </c>
      <c r="I6" t="inlineStr">
        <is>
          <t>🔴</t>
        </is>
      </c>
      <c r="J6" t="inlineStr">
        <is>
          <t>Temporário</t>
        </is>
      </c>
      <c r="K6" t="inlineStr">
        <is>
          <t>Parda (59.0%)</t>
        </is>
      </c>
      <c r="L6" t="n">
        <v>0.547008547008547</v>
      </c>
    </row>
    <row r="7">
      <c r="A7" t="inlineStr">
        <is>
          <t>lider</t>
        </is>
      </c>
      <c r="B7" t="n">
        <v>2</v>
      </c>
      <c r="C7" t="n">
        <v>230</v>
      </c>
      <c r="D7" s="11" t="n">
        <v>0.6046880907372401</v>
      </c>
      <c r="E7" t="n">
        <v>0.4565217391304348</v>
      </c>
      <c r="F7" t="n">
        <v>0</v>
      </c>
      <c r="G7" t="n">
        <v>2</v>
      </c>
      <c r="H7" t="n">
        <v>0</v>
      </c>
      <c r="I7" t="inlineStr">
        <is>
          <t>🟡</t>
        </is>
      </c>
      <c r="J7" t="inlineStr">
        <is>
          <t>Sim</t>
        </is>
      </c>
      <c r="K7" t="inlineStr">
        <is>
          <t>Parda (47.0%)</t>
        </is>
      </c>
      <c r="L7" t="n">
        <v>0.6046124763705103</v>
      </c>
    </row>
    <row r="8">
      <c r="A8" t="inlineStr">
        <is>
          <t>faixa_etaria</t>
        </is>
      </c>
      <c r="B8" t="n">
        <v>6</v>
      </c>
      <c r="C8" t="n">
        <v>230</v>
      </c>
      <c r="D8" s="11" t="n">
        <v>0.5942795736913383</v>
      </c>
      <c r="E8" t="n">
        <v>0.4869565217391305</v>
      </c>
      <c r="F8" t="n">
        <v>4</v>
      </c>
      <c r="G8" t="n">
        <v>2</v>
      </c>
      <c r="H8" t="n">
        <v>0</v>
      </c>
      <c r="I8" t="inlineStr">
        <is>
          <t>🔴</t>
        </is>
      </c>
      <c r="J8" t="inlineStr">
        <is>
          <t>45-54</t>
        </is>
      </c>
      <c r="K8" t="inlineStr">
        <is>
          <t>Branca (48.7%)</t>
        </is>
      </c>
      <c r="L8" t="n">
        <v>0.5470085470085471</v>
      </c>
    </row>
  </sheetData>
  <conditionalFormatting sqref="A2:L8">
    <cfRule type="expression" priority="1" dxfId="2">
      <formula>$D2&lt;0.6</formula>
    </cfRule>
    <cfRule type="expression" priority="2" dxfId="1">
      <formula>AND($D2&gt;=0.6,$D2&lt;0.8)</formula>
    </cfRule>
    <cfRule type="expression" priority="3" dxfId="0">
      <formula>$D2&gt;=0.8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22">
    <outlinePr summaryBelow="1" summaryRight="1"/>
    <pageSetUpPr/>
  </sheetPr>
  <dimension ref="A1:C3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1" customWidth="1" min="1" max="1"/>
    <col width="12" customWidth="1" min="2" max="2"/>
    <col width="13" customWidth="1" min="3" max="3"/>
  </cols>
  <sheetData>
    <row r="1">
      <c r="A1" s="6" t="inlineStr">
        <is>
          <t>Valor</t>
        </is>
      </c>
      <c r="B1" s="6" t="inlineStr">
        <is>
          <t>Frequência</t>
        </is>
      </c>
      <c r="C1" s="6" t="inlineStr">
        <is>
          <t>Percentagem</t>
        </is>
      </c>
    </row>
    <row r="2">
      <c r="A2" t="inlineStr">
        <is>
          <t>Masculino</t>
        </is>
      </c>
      <c r="B2" t="n">
        <v>121</v>
      </c>
      <c r="C2" t="inlineStr">
        <is>
          <t>52.6%</t>
        </is>
      </c>
    </row>
    <row r="3">
      <c r="A3" t="inlineStr">
        <is>
          <t>Feminino</t>
        </is>
      </c>
      <c r="B3" t="n">
        <v>109</v>
      </c>
      <c r="C3" t="inlineStr">
        <is>
          <t>47.4%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23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9" customWidth="1" min="1" max="1"/>
    <col width="12" customWidth="1" min="2" max="2"/>
    <col width="13" customWidth="1" min="3" max="3"/>
  </cols>
  <sheetData>
    <row r="1">
      <c r="A1" s="6" t="inlineStr">
        <is>
          <t>Valor</t>
        </is>
      </c>
      <c r="B1" s="6" t="inlineStr">
        <is>
          <t>Frequência</t>
        </is>
      </c>
      <c r="C1" s="6" t="inlineStr">
        <is>
          <t>Percentagem</t>
        </is>
      </c>
    </row>
    <row r="2">
      <c r="A2" t="inlineStr">
        <is>
          <t>Júnior</t>
        </is>
      </c>
      <c r="B2" t="n">
        <v>79</v>
      </c>
      <c r="C2" t="inlineStr">
        <is>
          <t>34.3%</t>
        </is>
      </c>
    </row>
    <row r="3">
      <c r="A3" t="inlineStr">
        <is>
          <t>Pleno</t>
        </is>
      </c>
      <c r="B3" t="n">
        <v>67</v>
      </c>
      <c r="C3" t="inlineStr">
        <is>
          <t>29.1%</t>
        </is>
      </c>
    </row>
    <row r="4">
      <c r="A4" t="inlineStr">
        <is>
          <t>Sênior</t>
        </is>
      </c>
      <c r="B4" t="n">
        <v>52</v>
      </c>
      <c r="C4" t="inlineStr">
        <is>
          <t>22.6%</t>
        </is>
      </c>
    </row>
    <row r="5">
      <c r="A5" t="inlineStr">
        <is>
          <t>Gerente</t>
        </is>
      </c>
      <c r="B5" t="n">
        <v>22</v>
      </c>
      <c r="C5" t="inlineStr">
        <is>
          <t>9.6%</t>
        </is>
      </c>
    </row>
    <row r="6">
      <c r="A6" t="inlineStr">
        <is>
          <t>Diretor</t>
        </is>
      </c>
      <c r="B6" t="n">
        <v>10</v>
      </c>
      <c r="C6" t="inlineStr">
        <is>
          <t>4.3%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24">
    <outlinePr summaryBelow="1" summaryRight="1"/>
    <pageSetUpPr/>
  </sheetPr>
  <dimension ref="A1:C5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1" customWidth="1" min="1" max="1"/>
    <col width="12" customWidth="1" min="2" max="2"/>
    <col width="13" customWidth="1" min="3" max="3"/>
  </cols>
  <sheetData>
    <row r="1">
      <c r="A1" s="6" t="inlineStr">
        <is>
          <t>Valor</t>
        </is>
      </c>
      <c r="B1" s="6" t="inlineStr">
        <is>
          <t>Frequência</t>
        </is>
      </c>
      <c r="C1" s="6" t="inlineStr">
        <is>
          <t>Percentagem</t>
        </is>
      </c>
    </row>
    <row r="2">
      <c r="A2" t="inlineStr">
        <is>
          <t>Operações</t>
        </is>
      </c>
      <c r="B2" t="n">
        <v>84</v>
      </c>
      <c r="C2" t="inlineStr">
        <is>
          <t>36.5%</t>
        </is>
      </c>
    </row>
    <row r="3">
      <c r="A3" t="inlineStr">
        <is>
          <t>TI</t>
        </is>
      </c>
      <c r="B3" t="n">
        <v>62</v>
      </c>
      <c r="C3" t="inlineStr">
        <is>
          <t>27.0%</t>
        </is>
      </c>
    </row>
    <row r="4">
      <c r="A4" t="inlineStr">
        <is>
          <t>Comercial</t>
        </is>
      </c>
      <c r="B4" t="n">
        <v>46</v>
      </c>
      <c r="C4" t="inlineStr">
        <is>
          <t>20.0%</t>
        </is>
      </c>
    </row>
    <row r="5">
      <c r="A5" t="inlineStr">
        <is>
          <t>RH</t>
        </is>
      </c>
      <c r="B5" t="n">
        <v>38</v>
      </c>
      <c r="C5" t="inlineStr">
        <is>
          <t>16.5%</t>
        </is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25">
    <outlinePr summaryBelow="1" summaryRight="1"/>
    <pageSetUpPr/>
  </sheetPr>
  <dimension ref="A1:C4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5" customWidth="1" min="1" max="1"/>
    <col width="12" customWidth="1" min="2" max="2"/>
    <col width="13" customWidth="1" min="3" max="3"/>
  </cols>
  <sheetData>
    <row r="1">
      <c r="A1" s="6" t="inlineStr">
        <is>
          <t>Valor</t>
        </is>
      </c>
      <c r="B1" s="6" t="inlineStr">
        <is>
          <t>Frequência</t>
        </is>
      </c>
      <c r="C1" s="6" t="inlineStr">
        <is>
          <t>Percentagem</t>
        </is>
      </c>
    </row>
    <row r="2">
      <c r="A2" t="inlineStr">
        <is>
          <t>Superior</t>
        </is>
      </c>
      <c r="B2" t="n">
        <v>99</v>
      </c>
      <c r="C2" t="inlineStr">
        <is>
          <t>43.0%</t>
        </is>
      </c>
    </row>
    <row r="3">
      <c r="A3" t="inlineStr">
        <is>
          <t>Médio</t>
        </is>
      </c>
      <c r="B3" t="n">
        <v>82</v>
      </c>
      <c r="C3" t="inlineStr">
        <is>
          <t>35.7%</t>
        </is>
      </c>
    </row>
    <row r="4">
      <c r="A4" t="inlineStr">
        <is>
          <t>Pós-graduação</t>
        </is>
      </c>
      <c r="B4" t="n">
        <v>49</v>
      </c>
      <c r="C4" t="inlineStr">
        <is>
          <t>21.3%</t>
        </is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26">
    <outlinePr summaryBelow="1" summaryRight="1"/>
    <pageSetUpPr/>
  </sheetPr>
  <dimension ref="A1:C4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4" customWidth="1" min="1" max="1"/>
    <col width="12" customWidth="1" min="2" max="2"/>
    <col width="13" customWidth="1" min="3" max="3"/>
  </cols>
  <sheetData>
    <row r="1">
      <c r="A1" s="6" t="inlineStr">
        <is>
          <t>Valor</t>
        </is>
      </c>
      <c r="B1" s="6" t="inlineStr">
        <is>
          <t>Frequência</t>
        </is>
      </c>
      <c r="C1" s="6" t="inlineStr">
        <is>
          <t>Percentagem</t>
        </is>
      </c>
    </row>
    <row r="2">
      <c r="A2" t="inlineStr">
        <is>
          <t>Efetivo</t>
        </is>
      </c>
      <c r="B2" t="n">
        <v>165</v>
      </c>
      <c r="C2" t="inlineStr">
        <is>
          <t>71.7%</t>
        </is>
      </c>
    </row>
    <row r="3">
      <c r="A3" t="inlineStr">
        <is>
          <t>Temporário</t>
        </is>
      </c>
      <c r="B3" t="n">
        <v>39</v>
      </c>
      <c r="C3" t="inlineStr">
        <is>
          <t>17.0%</t>
        </is>
      </c>
    </row>
    <row r="4">
      <c r="A4" t="inlineStr">
        <is>
          <t>Terceirizado</t>
        </is>
      </c>
      <c r="B4" t="n">
        <v>26</v>
      </c>
      <c r="C4" t="inlineStr">
        <is>
          <t>11.3%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27">
    <outlinePr summaryBelow="1" summaryRight="1"/>
    <pageSetUpPr/>
  </sheetPr>
  <dimension ref="A1:C5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9" customWidth="1" min="1" max="1"/>
    <col width="12" customWidth="1" min="2" max="2"/>
    <col width="13" customWidth="1" min="3" max="3"/>
  </cols>
  <sheetData>
    <row r="1">
      <c r="A1" s="6" t="inlineStr">
        <is>
          <t>Valor</t>
        </is>
      </c>
      <c r="B1" s="6" t="inlineStr">
        <is>
          <t>Frequência</t>
        </is>
      </c>
      <c r="C1" s="6" t="inlineStr">
        <is>
          <t>Percentagem</t>
        </is>
      </c>
    </row>
    <row r="2">
      <c r="A2" t="inlineStr">
        <is>
          <t>Parda</t>
        </is>
      </c>
      <c r="B2" t="n">
        <v>105</v>
      </c>
      <c r="C2" t="inlineStr">
        <is>
          <t>45.7%</t>
        </is>
      </c>
    </row>
    <row r="3">
      <c r="A3" t="inlineStr">
        <is>
          <t>Branca</t>
        </is>
      </c>
      <c r="B3" t="n">
        <v>95</v>
      </c>
      <c r="C3" t="inlineStr">
        <is>
          <t>41.3%</t>
        </is>
      </c>
    </row>
    <row r="4">
      <c r="A4" t="inlineStr">
        <is>
          <t>Preta</t>
        </is>
      </c>
      <c r="B4" t="n">
        <v>29</v>
      </c>
      <c r="C4" t="inlineStr">
        <is>
          <t>12.6%</t>
        </is>
      </c>
    </row>
    <row r="5">
      <c r="A5" t="inlineStr">
        <is>
          <t>Amarela</t>
        </is>
      </c>
      <c r="B5" t="n">
        <v>1</v>
      </c>
      <c r="C5" t="inlineStr">
        <is>
          <t>0.4%</t>
        </is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28">
    <outlinePr summaryBelow="1" summaryRight="1"/>
    <pageSetUpPr/>
  </sheetPr>
  <dimension ref="A1:C3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7" customWidth="1" min="1" max="1"/>
    <col width="12" customWidth="1" min="2" max="2"/>
    <col width="13" customWidth="1" min="3" max="3"/>
  </cols>
  <sheetData>
    <row r="1">
      <c r="A1" s="6" t="inlineStr">
        <is>
          <t>Valor</t>
        </is>
      </c>
      <c r="B1" s="6" t="inlineStr">
        <is>
          <t>Frequência</t>
        </is>
      </c>
      <c r="C1" s="6" t="inlineStr">
        <is>
          <t>Percentagem</t>
        </is>
      </c>
    </row>
    <row r="2">
      <c r="A2" t="inlineStr">
        <is>
          <t>Sim</t>
        </is>
      </c>
      <c r="B2" t="n">
        <v>115</v>
      </c>
      <c r="C2" t="inlineStr">
        <is>
          <t>50.0%</t>
        </is>
      </c>
    </row>
    <row r="3">
      <c r="A3" t="inlineStr">
        <is>
          <t>Não</t>
        </is>
      </c>
      <c r="B3" t="n">
        <v>115</v>
      </c>
      <c r="C3" t="inlineStr">
        <is>
          <t>50.0%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29">
    <outlinePr summaryBelow="1" summaryRight="1"/>
    <pageSetUpPr/>
  </sheetPr>
  <dimension ref="A1:C7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7" customWidth="1" min="1" max="1"/>
    <col width="12" customWidth="1" min="2" max="2"/>
    <col width="13" customWidth="1" min="3" max="3"/>
  </cols>
  <sheetData>
    <row r="1">
      <c r="A1" s="6" t="inlineStr">
        <is>
          <t>Valor</t>
        </is>
      </c>
      <c r="B1" s="6" t="inlineStr">
        <is>
          <t>Frequência</t>
        </is>
      </c>
      <c r="C1" s="6" t="inlineStr">
        <is>
          <t>Percentagem</t>
        </is>
      </c>
    </row>
    <row r="2">
      <c r="A2" t="inlineStr">
        <is>
          <t>35-44</t>
        </is>
      </c>
      <c r="B2" t="n">
        <v>54</v>
      </c>
      <c r="C2" t="inlineStr">
        <is>
          <t>23.5%</t>
        </is>
      </c>
    </row>
    <row r="3">
      <c r="A3" t="inlineStr">
        <is>
          <t>55-64</t>
        </is>
      </c>
      <c r="B3" t="n">
        <v>51</v>
      </c>
      <c r="C3" t="inlineStr">
        <is>
          <t>22.2%</t>
        </is>
      </c>
    </row>
    <row r="4">
      <c r="A4" t="inlineStr">
        <is>
          <t>45-54</t>
        </is>
      </c>
      <c r="B4" t="n">
        <v>39</v>
      </c>
      <c r="C4" t="inlineStr">
        <is>
          <t>17.0%</t>
        </is>
      </c>
    </row>
    <row r="5">
      <c r="A5" t="inlineStr">
        <is>
          <t>25-34</t>
        </is>
      </c>
      <c r="B5" t="n">
        <v>37</v>
      </c>
      <c r="C5" t="inlineStr">
        <is>
          <t>16.1%</t>
        </is>
      </c>
    </row>
    <row r="6">
      <c r="A6" t="inlineStr">
        <is>
          <t>18-24</t>
        </is>
      </c>
      <c r="B6" t="n">
        <v>28</v>
      </c>
      <c r="C6" t="inlineStr">
        <is>
          <t>12.2%</t>
        </is>
      </c>
    </row>
    <row r="7">
      <c r="A7" t="inlineStr">
        <is>
          <t>65+</t>
        </is>
      </c>
      <c r="B7" t="n">
        <v>21</v>
      </c>
      <c r="C7" t="inlineStr">
        <is>
          <t>9.1%</t>
        </is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30">
    <outlinePr summaryBelow="1" summaryRight="1"/>
    <pageSetUpPr/>
  </sheetPr>
  <dimension ref="A1:C118"/>
  <sheetViews>
    <sheetView workbookViewId="0">
      <pane ySplit="1" topLeftCell="A90" activePane="bottomLeft" state="frozen"/>
      <selection pane="bottomLeft" activeCell="A1" sqref="A1"/>
    </sheetView>
  </sheetViews>
  <sheetFormatPr baseColWidth="10" defaultColWidth="8.83203125" defaultRowHeight="15"/>
  <sheetData>
    <row r="1" ht="21" customHeight="1">
      <c r="A1" s="7" t="inlineStr">
        <is>
          <t>Gráficos de Análise</t>
        </is>
      </c>
      <c r="B1" s="7" t="n"/>
      <c r="C1" s="7" t="n"/>
    </row>
    <row r="3">
      <c r="A3" s="8" t="inlineStr">
        <is>
          <t>Gráfico de Gênero:</t>
        </is>
      </c>
    </row>
    <row r="5">
      <c r="A5" s="8" t="inlineStr">
        <is>
          <t>Categoria</t>
        </is>
      </c>
      <c r="B5" s="8" t="inlineStr">
        <is>
          <t>Frequência</t>
        </is>
      </c>
      <c r="C5" s="8" t="inlineStr">
        <is>
          <t>Percentagem</t>
        </is>
      </c>
    </row>
    <row r="6">
      <c r="A6" t="inlineStr">
        <is>
          <t>Masculino</t>
        </is>
      </c>
      <c r="B6" s="1" t="n">
        <v>121</v>
      </c>
      <c r="C6" s="9" t="n">
        <v>0.5260869565217391</v>
      </c>
    </row>
    <row r="7">
      <c r="A7" t="inlineStr">
        <is>
          <t>Feminino</t>
        </is>
      </c>
      <c r="B7" s="1" t="n">
        <v>109</v>
      </c>
      <c r="C7" s="9" t="n">
        <v>0.4739130434782609</v>
      </c>
    </row>
    <row r="17">
      <c r="A17" s="8" t="inlineStr">
        <is>
          <t>Gráfico de Cargo:</t>
        </is>
      </c>
    </row>
    <row r="19">
      <c r="A19" s="8" t="inlineStr">
        <is>
          <t>Categoria</t>
        </is>
      </c>
      <c r="B19" s="8" t="inlineStr">
        <is>
          <t>Frequência</t>
        </is>
      </c>
      <c r="C19" s="8" t="inlineStr">
        <is>
          <t>Percentagem</t>
        </is>
      </c>
    </row>
    <row r="20">
      <c r="A20" t="inlineStr">
        <is>
          <t>Júnior</t>
        </is>
      </c>
      <c r="B20" s="1" t="n">
        <v>79</v>
      </c>
      <c r="C20" s="9" t="n">
        <v>0.3434782608695652</v>
      </c>
    </row>
    <row r="21">
      <c r="A21" t="inlineStr">
        <is>
          <t>Pleno</t>
        </is>
      </c>
      <c r="B21" s="1" t="n">
        <v>67</v>
      </c>
      <c r="C21" s="9" t="n">
        <v>0.2913043478260869</v>
      </c>
    </row>
    <row r="22">
      <c r="A22" t="inlineStr">
        <is>
          <t>Sênior</t>
        </is>
      </c>
      <c r="B22" s="1" t="n">
        <v>52</v>
      </c>
      <c r="C22" s="9" t="n">
        <v>0.2260869565217391</v>
      </c>
    </row>
    <row r="23">
      <c r="A23" t="inlineStr">
        <is>
          <t>Gerente</t>
        </is>
      </c>
      <c r="B23" s="1" t="n">
        <v>22</v>
      </c>
      <c r="C23" s="9" t="n">
        <v>0.09565217391304348</v>
      </c>
    </row>
    <row r="24">
      <c r="A24" t="inlineStr">
        <is>
          <t>Diretor</t>
        </is>
      </c>
      <c r="B24" s="1" t="n">
        <v>10</v>
      </c>
      <c r="C24" s="9" t="n">
        <v>0.04347826086956522</v>
      </c>
    </row>
    <row r="34">
      <c r="A34" s="8" t="inlineStr">
        <is>
          <t>Gráfico de Departamento:</t>
        </is>
      </c>
    </row>
    <row r="36">
      <c r="A36" s="8" t="inlineStr">
        <is>
          <t>Categoria</t>
        </is>
      </c>
      <c r="B36" s="8" t="inlineStr">
        <is>
          <t>Frequência</t>
        </is>
      </c>
      <c r="C36" s="8" t="inlineStr">
        <is>
          <t>Percentagem</t>
        </is>
      </c>
    </row>
    <row r="37">
      <c r="A37" t="inlineStr">
        <is>
          <t>Operações</t>
        </is>
      </c>
      <c r="B37" s="1" t="n">
        <v>84</v>
      </c>
      <c r="C37" s="9" t="n">
        <v>0.3652173913043478</v>
      </c>
    </row>
    <row r="38">
      <c r="A38" t="inlineStr">
        <is>
          <t>TI</t>
        </is>
      </c>
      <c r="B38" s="1" t="n">
        <v>62</v>
      </c>
      <c r="C38" s="9" t="n">
        <v>0.2695652173913043</v>
      </c>
    </row>
    <row r="39">
      <c r="A39" t="inlineStr">
        <is>
          <t>Comercial</t>
        </is>
      </c>
      <c r="B39" s="1" t="n">
        <v>46</v>
      </c>
      <c r="C39" s="9" t="n">
        <v>0.2</v>
      </c>
    </row>
    <row r="40">
      <c r="A40" t="inlineStr">
        <is>
          <t>RH</t>
        </is>
      </c>
      <c r="B40" s="1" t="n">
        <v>38</v>
      </c>
      <c r="C40" s="9" t="n">
        <v>0.1652173913043478</v>
      </c>
    </row>
    <row r="50">
      <c r="A50" s="8" t="inlineStr">
        <is>
          <t>Gráfico de Instrução:</t>
        </is>
      </c>
    </row>
    <row r="52">
      <c r="A52" s="8" t="inlineStr">
        <is>
          <t>Categoria</t>
        </is>
      </c>
      <c r="B52" s="8" t="inlineStr">
        <is>
          <t>Frequência</t>
        </is>
      </c>
      <c r="C52" s="8" t="inlineStr">
        <is>
          <t>Percentagem</t>
        </is>
      </c>
    </row>
    <row r="53">
      <c r="A53" t="inlineStr">
        <is>
          <t>Superior</t>
        </is>
      </c>
      <c r="B53" s="1" t="n">
        <v>99</v>
      </c>
      <c r="C53" s="9" t="n">
        <v>0.4304347826086957</v>
      </c>
    </row>
    <row r="54">
      <c r="A54" t="inlineStr">
        <is>
          <t>Médio</t>
        </is>
      </c>
      <c r="B54" s="1" t="n">
        <v>82</v>
      </c>
      <c r="C54" s="9" t="n">
        <v>0.3565217391304348</v>
      </c>
    </row>
    <row r="55">
      <c r="A55" t="inlineStr">
        <is>
          <t>Pós-graduação</t>
        </is>
      </c>
      <c r="B55" s="1" t="n">
        <v>49</v>
      </c>
      <c r="C55" s="9" t="n">
        <v>0.2130434782608696</v>
      </c>
    </row>
    <row r="65">
      <c r="A65" s="8" t="inlineStr">
        <is>
          <t>Gráfico de Tipo_Contrato:</t>
        </is>
      </c>
    </row>
    <row r="67">
      <c r="A67" s="8" t="inlineStr">
        <is>
          <t>Categoria</t>
        </is>
      </c>
      <c r="B67" s="8" t="inlineStr">
        <is>
          <t>Frequência</t>
        </is>
      </c>
      <c r="C67" s="8" t="inlineStr">
        <is>
          <t>Percentagem</t>
        </is>
      </c>
    </row>
    <row r="68">
      <c r="A68" t="inlineStr">
        <is>
          <t>Efetivo</t>
        </is>
      </c>
      <c r="B68" s="1" t="n">
        <v>165</v>
      </c>
      <c r="C68" s="9" t="n">
        <v>0.7173913043478261</v>
      </c>
    </row>
    <row r="69">
      <c r="A69" t="inlineStr">
        <is>
          <t>Temporário</t>
        </is>
      </c>
      <c r="B69" s="1" t="n">
        <v>39</v>
      </c>
      <c r="C69" s="9" t="n">
        <v>0.1695652173913043</v>
      </c>
    </row>
    <row r="70">
      <c r="A70" t="inlineStr">
        <is>
          <t>Terceirizado</t>
        </is>
      </c>
      <c r="B70" s="1" t="n">
        <v>26</v>
      </c>
      <c r="C70" s="9" t="n">
        <v>0.1130434782608696</v>
      </c>
    </row>
    <row r="80">
      <c r="A80" s="8" t="inlineStr">
        <is>
          <t>Gráfico de raca:</t>
        </is>
      </c>
    </row>
    <row r="82">
      <c r="A82" s="8" t="inlineStr">
        <is>
          <t>Categoria</t>
        </is>
      </c>
      <c r="B82" s="8" t="inlineStr">
        <is>
          <t>Frequência</t>
        </is>
      </c>
      <c r="C82" s="8" t="inlineStr">
        <is>
          <t>Percentagem</t>
        </is>
      </c>
    </row>
    <row r="83">
      <c r="A83" t="inlineStr">
        <is>
          <t>Parda</t>
        </is>
      </c>
      <c r="B83" s="1" t="n">
        <v>105</v>
      </c>
      <c r="C83" s="9" t="n">
        <v>0.4565217391304348</v>
      </c>
    </row>
    <row r="84">
      <c r="A84" t="inlineStr">
        <is>
          <t>Branca</t>
        </is>
      </c>
      <c r="B84" s="1" t="n">
        <v>95</v>
      </c>
      <c r="C84" s="9" t="n">
        <v>0.4130434782608696</v>
      </c>
    </row>
    <row r="85">
      <c r="A85" t="inlineStr">
        <is>
          <t>Preta</t>
        </is>
      </c>
      <c r="B85" s="1" t="n">
        <v>29</v>
      </c>
      <c r="C85" s="9" t="n">
        <v>0.1260869565217391</v>
      </c>
    </row>
    <row r="86">
      <c r="A86" t="inlineStr">
        <is>
          <t>Amarela</t>
        </is>
      </c>
      <c r="B86" s="1" t="n">
        <v>1</v>
      </c>
      <c r="C86" s="9" t="n">
        <v>0.004347826086956522</v>
      </c>
    </row>
    <row r="96">
      <c r="A96" s="8" t="inlineStr">
        <is>
          <t>Gráfico de lider:</t>
        </is>
      </c>
    </row>
    <row r="98">
      <c r="A98" s="8" t="inlineStr">
        <is>
          <t>Categoria</t>
        </is>
      </c>
      <c r="B98" s="8" t="inlineStr">
        <is>
          <t>Frequência</t>
        </is>
      </c>
      <c r="C98" s="8" t="inlineStr">
        <is>
          <t>Percentagem</t>
        </is>
      </c>
    </row>
    <row r="99">
      <c r="A99" t="inlineStr">
        <is>
          <t>Sim</t>
        </is>
      </c>
      <c r="B99" s="1" t="n">
        <v>115</v>
      </c>
      <c r="C99" s="9" t="n">
        <v>0.5</v>
      </c>
    </row>
    <row r="100">
      <c r="A100" t="inlineStr">
        <is>
          <t>Não</t>
        </is>
      </c>
      <c r="B100" s="1" t="n">
        <v>115</v>
      </c>
      <c r="C100" s="9" t="n">
        <v>0.5</v>
      </c>
    </row>
    <row r="110">
      <c r="A110" s="8" t="inlineStr">
        <is>
          <t>Gráfico de faixa_etaria:</t>
        </is>
      </c>
    </row>
    <row r="112">
      <c r="A112" s="8" t="inlineStr">
        <is>
          <t>Categoria</t>
        </is>
      </c>
      <c r="B112" s="8" t="inlineStr">
        <is>
          <t>Frequência</t>
        </is>
      </c>
      <c r="C112" s="8" t="inlineStr">
        <is>
          <t>Percentagem</t>
        </is>
      </c>
    </row>
    <row r="113">
      <c r="A113" t="inlineStr">
        <is>
          <t>35-44</t>
        </is>
      </c>
      <c r="B113" s="1" t="n">
        <v>54</v>
      </c>
      <c r="C113" s="9" t="n">
        <v>0.2347826086956522</v>
      </c>
    </row>
    <row r="114">
      <c r="A114" t="inlineStr">
        <is>
          <t>55-64</t>
        </is>
      </c>
      <c r="B114" s="1" t="n">
        <v>51</v>
      </c>
      <c r="C114" s="9" t="n">
        <v>0.2217391304347826</v>
      </c>
    </row>
    <row r="115">
      <c r="A115" t="inlineStr">
        <is>
          <t>45-54</t>
        </is>
      </c>
      <c r="B115" s="1" t="n">
        <v>39</v>
      </c>
      <c r="C115" s="9" t="n">
        <v>0.1695652173913043</v>
      </c>
    </row>
    <row r="116">
      <c r="A116" t="inlineStr">
        <is>
          <t>25-34</t>
        </is>
      </c>
      <c r="B116" s="1" t="n">
        <v>37</v>
      </c>
      <c r="C116" s="9" t="n">
        <v>0.1608695652173913</v>
      </c>
    </row>
    <row r="117">
      <c r="A117" t="inlineStr">
        <is>
          <t>18-24</t>
        </is>
      </c>
      <c r="B117" s="1" t="n">
        <v>28</v>
      </c>
      <c r="C117" s="9" t="n">
        <v>0.1217391304347826</v>
      </c>
    </row>
    <row r="118">
      <c r="A118" t="inlineStr">
        <is>
          <t>65+</t>
        </is>
      </c>
      <c r="B118" s="1" t="n">
        <v>21</v>
      </c>
      <c r="C118" s="9" t="n">
        <v>0.09130434782608696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 codeName="Sheet31">
    <outlinePr summaryBelow="1" summaryRight="1"/>
    <pageSetUpPr/>
  </sheetPr>
  <dimension ref="A1:A8"/>
  <sheetViews>
    <sheetView workbookViewId="0">
      <selection activeCell="A1" sqref="A1"/>
    </sheetView>
  </sheetViews>
  <sheetFormatPr baseColWidth="10" defaultColWidth="8.83203125" defaultRowHeight="15"/>
  <cols>
    <col width="50" customWidth="1" min="1" max="1"/>
  </cols>
  <sheetData>
    <row r="1" ht="21" customHeight="1">
      <c r="A1" s="7" t="inlineStr">
        <is>
          <t>Glossário e Metodologia</t>
        </is>
      </c>
    </row>
    <row r="3">
      <c r="A3" t="inlineStr">
        <is>
          <t>Índice de Simpson: 1 - Σ p_i^2 (quanto mais perto de 1, mais diversidade).</t>
        </is>
      </c>
    </row>
    <row r="4">
      <c r="A4" t="inlineStr">
        <is>
          <t>Índice de Shannon: -Σ p_i ln(p_i) (maior valor indica maior diversidade).</t>
        </is>
      </c>
    </row>
    <row r="5">
      <c r="A5" t="inlineStr">
        <is>
          <t>Qui-quadrado: testa associação entre variáveis categóricas (p&lt;0,05 indica associação).</t>
        </is>
      </c>
    </row>
    <row r="7">
      <c r="A7" t="inlineStr">
        <is>
          <t>Boas práticas: mantenha categorias consistentes (use listas suspensas); evite células vazias.</t>
        </is>
      </c>
    </row>
    <row r="8">
      <c r="A8" t="inlineStr">
        <is>
          <t>Limitações: resultados dependem da qualidade dos dados e tamanho de amostra.</t>
        </is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32">
    <outlinePr summaryBelow="1" summaryRight="1"/>
    <pageSetUpPr/>
  </sheetPr>
  <dimension ref="A1:H7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1" customWidth="1" min="1" max="1"/>
    <col width="9" customWidth="1" min="2" max="2"/>
    <col width="14" customWidth="1" min="3" max="3"/>
    <col width="15" customWidth="1" min="4" max="5"/>
    <col width="9" customWidth="1" min="6" max="6"/>
    <col width="7" customWidth="1" min="7" max="7"/>
    <col width="14" customWidth="1" min="8" max="8"/>
  </cols>
  <sheetData>
    <row r="1">
      <c r="A1" s="8" t="inlineStr">
        <is>
          <t>Gênero</t>
        </is>
      </c>
      <c r="B1" s="8" t="inlineStr">
        <is>
          <t>Cargo</t>
        </is>
      </c>
      <c r="C1" s="8" t="inlineStr">
        <is>
          <t>Departamento</t>
        </is>
      </c>
      <c r="D1" s="8" t="inlineStr">
        <is>
          <t>Instrução</t>
        </is>
      </c>
      <c r="E1" s="8" t="inlineStr">
        <is>
          <t>Tipo_Contrato</t>
        </is>
      </c>
      <c r="F1" s="8" t="inlineStr">
        <is>
          <t>raca</t>
        </is>
      </c>
      <c r="G1" s="8" t="inlineStr">
        <is>
          <t>lider</t>
        </is>
      </c>
      <c r="H1" s="8" t="inlineStr">
        <is>
          <t>faixa_etaria</t>
        </is>
      </c>
    </row>
    <row r="2">
      <c r="A2" t="inlineStr">
        <is>
          <t>Feminino</t>
        </is>
      </c>
      <c r="B2" t="inlineStr">
        <is>
          <t>Diretor</t>
        </is>
      </c>
      <c r="C2" t="inlineStr">
        <is>
          <t>Comercial</t>
        </is>
      </c>
      <c r="D2" t="inlineStr">
        <is>
          <t>Médio</t>
        </is>
      </c>
      <c r="E2" t="inlineStr">
        <is>
          <t>Efetivo</t>
        </is>
      </c>
      <c r="F2" t="inlineStr">
        <is>
          <t>Amarela</t>
        </is>
      </c>
      <c r="G2" t="inlineStr">
        <is>
          <t>Não</t>
        </is>
      </c>
      <c r="H2" t="inlineStr">
        <is>
          <t>18-24</t>
        </is>
      </c>
    </row>
    <row r="3">
      <c r="A3" t="inlineStr">
        <is>
          <t>Masculino</t>
        </is>
      </c>
      <c r="B3" t="inlineStr">
        <is>
          <t>Gerente</t>
        </is>
      </c>
      <c r="C3" t="inlineStr">
        <is>
          <t>Operações</t>
        </is>
      </c>
      <c r="D3" t="inlineStr">
        <is>
          <t>Pós-graduação</t>
        </is>
      </c>
      <c r="E3" t="inlineStr">
        <is>
          <t>Temporário</t>
        </is>
      </c>
      <c r="F3" t="inlineStr">
        <is>
          <t>Branca</t>
        </is>
      </c>
      <c r="G3" t="inlineStr">
        <is>
          <t>Sim</t>
        </is>
      </c>
      <c r="H3" t="inlineStr">
        <is>
          <t>25-34</t>
        </is>
      </c>
    </row>
    <row r="4">
      <c r="B4" t="inlineStr">
        <is>
          <t>Júnior</t>
        </is>
      </c>
      <c r="C4" t="inlineStr">
        <is>
          <t>RH</t>
        </is>
      </c>
      <c r="D4" t="inlineStr">
        <is>
          <t>Superior</t>
        </is>
      </c>
      <c r="E4" t="inlineStr">
        <is>
          <t>Terceirizado</t>
        </is>
      </c>
      <c r="F4" t="inlineStr">
        <is>
          <t>Parda</t>
        </is>
      </c>
      <c r="H4" t="inlineStr">
        <is>
          <t>35-44</t>
        </is>
      </c>
    </row>
    <row r="5">
      <c r="B5" t="inlineStr">
        <is>
          <t>Pleno</t>
        </is>
      </c>
      <c r="C5" t="inlineStr">
        <is>
          <t>TI</t>
        </is>
      </c>
      <c r="F5" t="inlineStr">
        <is>
          <t>Preta</t>
        </is>
      </c>
      <c r="H5" t="inlineStr">
        <is>
          <t>45-54</t>
        </is>
      </c>
    </row>
    <row r="6">
      <c r="B6" t="inlineStr">
        <is>
          <t>Sênior</t>
        </is>
      </c>
      <c r="H6" t="inlineStr">
        <is>
          <t>55-64</t>
        </is>
      </c>
    </row>
    <row r="7">
      <c r="H7" t="inlineStr">
        <is>
          <t>65+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E2"/>
  <sheetViews>
    <sheetView workbookViewId="0">
      <selection activeCell="A1" sqref="A1"/>
    </sheetView>
  </sheetViews>
  <sheetFormatPr baseColWidth="8" defaultRowHeight="15"/>
  <sheetData>
    <row r="1">
      <c r="A1" s="17" t="inlineStr">
        <is>
          <t>Categoria</t>
        </is>
      </c>
      <c r="B1" s="17" t="inlineStr">
        <is>
          <t>Total</t>
        </is>
      </c>
      <c r="C1" s="17" t="inlineStr">
        <is>
          <t>Índice de Simpson (Gênero)</t>
        </is>
      </c>
      <c r="D1" s="17" t="inlineStr">
        <is>
          <t>Índice de Shannon (Gênero)</t>
        </is>
      </c>
      <c r="E1" s="17" t="inlineStr">
        <is>
          <t>Predominante (Gênero)</t>
        </is>
      </c>
    </row>
    <row r="2">
      <c r="A2">
        <f>UNIQUE(TBL_DADOS[Cargo])</f>
        <v/>
      </c>
      <c r="B2">
        <f>IF(A2="","",ROWS(FILTER(TBL_DADOS[Gênero], TBL_DADOS[Cargo]=A2)))</f>
        <v/>
      </c>
      <c r="C2">
        <f>IF(A2="","",LET(arr,FILTER(TBL_DADOS[Gênero],TBL_DADOS[Cargo]=A2),u,UNIQUE(arr),p,COUNTIF(arr,u)/ROWS(arr),1-SUMPRODUCT(p^2)))</f>
        <v/>
      </c>
      <c r="D2">
        <f>IF(A2="","",LET(arr,FILTER(TBL_DADOS[Gênero],TBL_DADOS[Cargo]=A2),u,UNIQUE(arr),p,COUNTIF(arr,u)/ROWS(arr),pp,FILTER(p,p&gt;0),-SUMPRODUCT(pp*LN(pp))))</f>
        <v/>
      </c>
      <c r="E2">
        <f>IF(A2="","",LET(arr,FILTER(TBL_DADOS[Gênero],TBL_DADOS[Cargo]=A2),u,UNIQUE(arr),c,COUNTIF(arr,u),INDEX(SORTBY(u,c,-1),1)))</f>
        <v/>
      </c>
    </row>
  </sheetData>
  <conditionalFormatting sqref="A2:E2000">
    <cfRule type="expression" priority="1" dxfId="19">
      <formula>=$C2&lt;0.6</formula>
    </cfRule>
    <cfRule type="expression" priority="2" dxfId="20">
      <formula>=AND($C2&gt;=0.6,$C2&lt;0.8)</formula>
    </cfRule>
    <cfRule type="expression" priority="3" dxfId="21">
      <formula>=$C2&gt;=0.8</formula>
    </cfRule>
  </conditionalFormatting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E2"/>
  <sheetViews>
    <sheetView workbookViewId="0">
      <selection activeCell="A1" sqref="A1"/>
    </sheetView>
  </sheetViews>
  <sheetFormatPr baseColWidth="8" defaultRowHeight="15"/>
  <sheetData>
    <row r="1">
      <c r="A1" s="17" t="inlineStr">
        <is>
          <t>Categoria</t>
        </is>
      </c>
      <c r="B1" s="17" t="inlineStr">
        <is>
          <t>Total</t>
        </is>
      </c>
      <c r="C1" s="17" t="inlineStr">
        <is>
          <t>Índice de Simpson (Raça)</t>
        </is>
      </c>
      <c r="D1" s="17" t="inlineStr">
        <is>
          <t>Índice de Shannon (Raça)</t>
        </is>
      </c>
      <c r="E1" s="17" t="inlineStr">
        <is>
          <t>Predominante (Raça)</t>
        </is>
      </c>
    </row>
    <row r="2">
      <c r="A2">
        <f>UNIQUE(TBL_DADOS[Cargo])</f>
        <v/>
      </c>
      <c r="B2">
        <f>IF(A2="","",ROWS(FILTER(TBL_DADOS[raca], TBL_DADOS[Cargo]=A2)))</f>
        <v/>
      </c>
      <c r="C2">
        <f>IF(A2="","",LET(arr,FILTER(TBL_DADOS[raca],TBL_DADOS[Cargo]=A2),u,UNIQUE(arr),p,COUNTIF(arr,u)/ROWS(arr),1-SUMPRODUCT(p^2)))</f>
        <v/>
      </c>
      <c r="D2">
        <f>IF(A2="","",LET(arr,FILTER(TBL_DADOS[raca],TBL_DADOS[Cargo]=A2),u,UNIQUE(arr),p,COUNTIF(arr,u)/ROWS(arr),pp,FILTER(p,p&gt;0),-SUMPRODUCT(pp*LN(pp))))</f>
        <v/>
      </c>
      <c r="E2">
        <f>IF(A2="","",LET(arr,FILTER(TBL_DADOS[raca],TBL_DADOS[Cargo]=A2),u,UNIQUE(arr),c,COUNTIF(arr,u),INDEX(SORTBY(u,c,-1),1)))</f>
        <v/>
      </c>
    </row>
  </sheetData>
  <conditionalFormatting sqref="A2:E2000">
    <cfRule type="expression" priority="1" dxfId="19">
      <formula>=$C2&lt;0.6</formula>
    </cfRule>
    <cfRule type="expression" priority="2" dxfId="20">
      <formula>=AND($C2&gt;=0.6,$C2&lt;0.8)</formula>
    </cfRule>
    <cfRule type="expression" priority="3" dxfId="21">
      <formula>=$C2&gt;=0.8</formula>
    </cfRule>
  </conditionalFormatting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E2"/>
  <sheetViews>
    <sheetView workbookViewId="0">
      <selection activeCell="A1" sqref="A1"/>
    </sheetView>
  </sheetViews>
  <sheetFormatPr baseColWidth="8" defaultRowHeight="15"/>
  <sheetData>
    <row r="1">
      <c r="A1" s="17" t="inlineStr">
        <is>
          <t>Categoria</t>
        </is>
      </c>
      <c r="B1" s="17" t="inlineStr">
        <is>
          <t>Total</t>
        </is>
      </c>
      <c r="C1" s="17" t="inlineStr">
        <is>
          <t>Índice de Simpson (Gênero)</t>
        </is>
      </c>
      <c r="D1" s="17" t="inlineStr">
        <is>
          <t>Índice de Shannon (Gênero)</t>
        </is>
      </c>
      <c r="E1" s="17" t="inlineStr">
        <is>
          <t>Predominante (Gênero)</t>
        </is>
      </c>
    </row>
    <row r="2">
      <c r="A2">
        <f>UNIQUE(TBL_DADOS[Departamento])</f>
        <v/>
      </c>
      <c r="B2">
        <f>IF(A2="","",ROWS(FILTER(TBL_DADOS[Gênero], TBL_DADOS[Departamento]=A2)))</f>
        <v/>
      </c>
      <c r="C2">
        <f>IF(A2="","",LET(arr,FILTER(TBL_DADOS[Gênero],TBL_DADOS[Departamento]=A2),u,UNIQUE(arr),p,COUNTIF(arr,u)/ROWS(arr),1-SUMPRODUCT(p^2)))</f>
        <v/>
      </c>
      <c r="D2">
        <f>IF(A2="","",LET(arr,FILTER(TBL_DADOS[Gênero],TBL_DADOS[Departamento]=A2),u,UNIQUE(arr),p,COUNTIF(arr,u)/ROWS(arr),pp,FILTER(p,p&gt;0),-SUMPRODUCT(pp*LN(pp))))</f>
        <v/>
      </c>
      <c r="E2">
        <f>IF(A2="","",LET(arr,FILTER(TBL_DADOS[Gênero],TBL_DADOS[Departamento]=A2),u,UNIQUE(arr),c,COUNTIF(arr,u),INDEX(SORTBY(u,c,-1),1)))</f>
        <v/>
      </c>
    </row>
  </sheetData>
  <conditionalFormatting sqref="A2:E2000">
    <cfRule type="expression" priority="1" dxfId="19">
      <formula>=$C2&lt;0.6</formula>
    </cfRule>
    <cfRule type="expression" priority="2" dxfId="20">
      <formula>=AND($C2&gt;=0.6,$C2&lt;0.8)</formula>
    </cfRule>
    <cfRule type="expression" priority="3" dxfId="21">
      <formula>=$C2&gt;=0.8</formula>
    </cfRule>
  </conditionalFormatting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E2"/>
  <sheetViews>
    <sheetView workbookViewId="0">
      <selection activeCell="A1" sqref="A1"/>
    </sheetView>
  </sheetViews>
  <sheetFormatPr baseColWidth="8" defaultRowHeight="15"/>
  <sheetData>
    <row r="1">
      <c r="A1" s="17" t="inlineStr">
        <is>
          <t>Categoria</t>
        </is>
      </c>
      <c r="B1" s="17" t="inlineStr">
        <is>
          <t>Total</t>
        </is>
      </c>
      <c r="C1" s="17" t="inlineStr">
        <is>
          <t>Índice de Simpson (Raça)</t>
        </is>
      </c>
      <c r="D1" s="17" t="inlineStr">
        <is>
          <t>Índice de Shannon (Raça)</t>
        </is>
      </c>
      <c r="E1" s="17" t="inlineStr">
        <is>
          <t>Predominante (Raça)</t>
        </is>
      </c>
    </row>
    <row r="2">
      <c r="A2">
        <f>UNIQUE(TBL_DADOS[Departamento])</f>
        <v/>
      </c>
      <c r="B2">
        <f>IF(A2="","",ROWS(FILTER(TBL_DADOS[raca], TBL_DADOS[Departamento]=A2)))</f>
        <v/>
      </c>
      <c r="C2">
        <f>IF(A2="","",LET(arr,FILTER(TBL_DADOS[raca],TBL_DADOS[Departamento]=A2),u,UNIQUE(arr),p,COUNTIF(arr,u)/ROWS(arr),1-SUMPRODUCT(p^2)))</f>
        <v/>
      </c>
      <c r="D2">
        <f>IF(A2="","",LET(arr,FILTER(TBL_DADOS[raca],TBL_DADOS[Departamento]=A2),u,UNIQUE(arr),p,COUNTIF(arr,u)/ROWS(arr),pp,FILTER(p,p&gt;0),-SUMPRODUCT(pp*LN(pp))))</f>
        <v/>
      </c>
      <c r="E2">
        <f>IF(A2="","",LET(arr,FILTER(TBL_DADOS[raca],TBL_DADOS[Departamento]=A2),u,UNIQUE(arr),c,COUNTIF(arr,u),INDEX(SORTBY(u,c,-1),1)))</f>
        <v/>
      </c>
    </row>
  </sheetData>
  <conditionalFormatting sqref="A2:E2000">
    <cfRule type="expression" priority="1" dxfId="19">
      <formula>=$C2&lt;0.6</formula>
    </cfRule>
    <cfRule type="expression" priority="2" dxfId="20">
      <formula>=AND($C2&gt;=0.6,$C2&lt;0.8)</formula>
    </cfRule>
    <cfRule type="expression" priority="3" dxfId="21">
      <formula>=$C2&gt;=0.8</formula>
    </cfRule>
  </conditionalFormatting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E2"/>
  <sheetViews>
    <sheetView workbookViewId="0">
      <selection activeCell="A1" sqref="A1"/>
    </sheetView>
  </sheetViews>
  <sheetFormatPr baseColWidth="8" defaultRowHeight="15"/>
  <sheetData>
    <row r="1">
      <c r="A1" s="17" t="inlineStr">
        <is>
          <t>Categoria</t>
        </is>
      </c>
      <c r="B1" s="17" t="inlineStr">
        <is>
          <t>Total</t>
        </is>
      </c>
      <c r="C1" s="17" t="inlineStr">
        <is>
          <t>Índice de Simpson (Gênero)</t>
        </is>
      </c>
      <c r="D1" s="17" t="inlineStr">
        <is>
          <t>Índice de Shannon (Gênero)</t>
        </is>
      </c>
      <c r="E1" s="17" t="inlineStr">
        <is>
          <t>Predominante (Gênero)</t>
        </is>
      </c>
    </row>
    <row r="2">
      <c r="A2">
        <f>UNIQUE(TBL_DADOS[Instrução])</f>
        <v/>
      </c>
      <c r="B2">
        <f>IF(A2="","",ROWS(FILTER(TBL_DADOS[Gênero], TBL_DADOS[Instrução]=A2)))</f>
        <v/>
      </c>
      <c r="C2">
        <f>IF(A2="","",LET(arr,FILTER(TBL_DADOS[Gênero],TBL_DADOS[Instrução]=A2),u,UNIQUE(arr),p,COUNTIF(arr,u)/ROWS(arr),1-SUMPRODUCT(p^2)))</f>
        <v/>
      </c>
      <c r="D2">
        <f>IF(A2="","",LET(arr,FILTER(TBL_DADOS[Gênero],TBL_DADOS[Instrução]=A2),u,UNIQUE(arr),p,COUNTIF(arr,u)/ROWS(arr),pp,FILTER(p,p&gt;0),-SUMPRODUCT(pp*LN(pp))))</f>
        <v/>
      </c>
      <c r="E2">
        <f>IF(A2="","",LET(arr,FILTER(TBL_DADOS[Gênero],TBL_DADOS[Instrução]=A2),u,UNIQUE(arr),c,COUNTIF(arr,u),INDEX(SORTBY(u,c,-1),1)))</f>
        <v/>
      </c>
    </row>
  </sheetData>
  <conditionalFormatting sqref="A2:E2000">
    <cfRule type="expression" priority="1" dxfId="19">
      <formula>=$C2&lt;0.6</formula>
    </cfRule>
    <cfRule type="expression" priority="2" dxfId="20">
      <formula>=AND($C2&gt;=0.6,$C2&lt;0.8)</formula>
    </cfRule>
    <cfRule type="expression" priority="3" dxfId="21">
      <formula>=$C2&gt;=0.8</formula>
    </cfRule>
  </conditionalFormatting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E2"/>
  <sheetViews>
    <sheetView workbookViewId="0">
      <selection activeCell="A1" sqref="A1"/>
    </sheetView>
  </sheetViews>
  <sheetFormatPr baseColWidth="8" defaultRowHeight="15"/>
  <sheetData>
    <row r="1">
      <c r="A1" s="17" t="inlineStr">
        <is>
          <t>Categoria</t>
        </is>
      </c>
      <c r="B1" s="17" t="inlineStr">
        <is>
          <t>Total</t>
        </is>
      </c>
      <c r="C1" s="17" t="inlineStr">
        <is>
          <t>Índice de Simpson (Raça)</t>
        </is>
      </c>
      <c r="D1" s="17" t="inlineStr">
        <is>
          <t>Índice de Shannon (Raça)</t>
        </is>
      </c>
      <c r="E1" s="17" t="inlineStr">
        <is>
          <t>Predominante (Raça)</t>
        </is>
      </c>
    </row>
    <row r="2">
      <c r="A2">
        <f>UNIQUE(TBL_DADOS[Instrução])</f>
        <v/>
      </c>
      <c r="B2">
        <f>IF(A2="","",ROWS(FILTER(TBL_DADOS[raca], TBL_DADOS[Instrução]=A2)))</f>
        <v/>
      </c>
      <c r="C2">
        <f>IF(A2="","",LET(arr,FILTER(TBL_DADOS[raca],TBL_DADOS[Instrução]=A2),u,UNIQUE(arr),p,COUNTIF(arr,u)/ROWS(arr),1-SUMPRODUCT(p^2)))</f>
        <v/>
      </c>
      <c r="D2">
        <f>IF(A2="","",LET(arr,FILTER(TBL_DADOS[raca],TBL_DADOS[Instrução]=A2),u,UNIQUE(arr),p,COUNTIF(arr,u)/ROWS(arr),pp,FILTER(p,p&gt;0),-SUMPRODUCT(pp*LN(pp))))</f>
        <v/>
      </c>
      <c r="E2">
        <f>IF(A2="","",LET(arr,FILTER(TBL_DADOS[raca],TBL_DADOS[Instrução]=A2),u,UNIQUE(arr),c,COUNTIF(arr,u),INDEX(SORTBY(u,c,-1),1)))</f>
        <v/>
      </c>
    </row>
  </sheetData>
  <conditionalFormatting sqref="A2:E2000">
    <cfRule type="expression" priority="1" dxfId="19">
      <formula>=$C2&lt;0.6</formula>
    </cfRule>
    <cfRule type="expression" priority="2" dxfId="20">
      <formula>=AND($C2&gt;=0.6,$C2&lt;0.8)</formula>
    </cfRule>
    <cfRule type="expression" priority="3" dxfId="21">
      <formula>=$C2&gt;=0.8</formula>
    </cfRule>
  </conditionalFormatting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E2"/>
  <sheetViews>
    <sheetView workbookViewId="0">
      <selection activeCell="A1" sqref="A1"/>
    </sheetView>
  </sheetViews>
  <sheetFormatPr baseColWidth="8" defaultRowHeight="15"/>
  <sheetData>
    <row r="1">
      <c r="A1" s="17" t="inlineStr">
        <is>
          <t>Categoria</t>
        </is>
      </c>
      <c r="B1" s="17" t="inlineStr">
        <is>
          <t>Total</t>
        </is>
      </c>
      <c r="C1" s="17" t="inlineStr">
        <is>
          <t>Índice de Simpson (Gênero)</t>
        </is>
      </c>
      <c r="D1" s="17" t="inlineStr">
        <is>
          <t>Índice de Shannon (Gênero)</t>
        </is>
      </c>
      <c r="E1" s="17" t="inlineStr">
        <is>
          <t>Predominante (Gênero)</t>
        </is>
      </c>
    </row>
    <row r="2">
      <c r="A2">
        <f>UNIQUE(TBL_DADOS[Tipo_Contrato])</f>
        <v/>
      </c>
      <c r="B2">
        <f>IF(A2="","",ROWS(FILTER(TBL_DADOS[Gênero], TBL_DADOS[Tipo_Contrato]=A2)))</f>
        <v/>
      </c>
      <c r="C2">
        <f>IF(A2="","",LET(arr,FILTER(TBL_DADOS[Gênero],TBL_DADOS[Tipo_Contrato]=A2),u,UNIQUE(arr),p,COUNTIF(arr,u)/ROWS(arr),1-SUMPRODUCT(p^2)))</f>
        <v/>
      </c>
      <c r="D2">
        <f>IF(A2="","",LET(arr,FILTER(TBL_DADOS[Gênero],TBL_DADOS[Tipo_Contrato]=A2),u,UNIQUE(arr),p,COUNTIF(arr,u)/ROWS(arr),pp,FILTER(p,p&gt;0),-SUMPRODUCT(pp*LN(pp))))</f>
        <v/>
      </c>
      <c r="E2">
        <f>IF(A2="","",LET(arr,FILTER(TBL_DADOS[Gênero],TBL_DADOS[Tipo_Contrato]=A2),u,UNIQUE(arr),c,COUNTIF(arr,u),INDEX(SORTBY(u,c,-1),1)))</f>
        <v/>
      </c>
    </row>
  </sheetData>
  <conditionalFormatting sqref="A2:E2000">
    <cfRule type="expression" priority="1" dxfId="19">
      <formula>=$C2&lt;0.6</formula>
    </cfRule>
    <cfRule type="expression" priority="2" dxfId="20">
      <formula>=AND($C2&gt;=0.6,$C2&lt;0.8)</formula>
    </cfRule>
    <cfRule type="expression" priority="3" dxfId="21">
      <formula>=$C2&gt;=0.8</formula>
    </cfRule>
  </conditionalFormatting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E2"/>
  <sheetViews>
    <sheetView workbookViewId="0">
      <selection activeCell="A1" sqref="A1"/>
    </sheetView>
  </sheetViews>
  <sheetFormatPr baseColWidth="8" defaultRowHeight="15"/>
  <sheetData>
    <row r="1">
      <c r="A1" s="17" t="inlineStr">
        <is>
          <t>Categoria</t>
        </is>
      </c>
      <c r="B1" s="17" t="inlineStr">
        <is>
          <t>Total</t>
        </is>
      </c>
      <c r="C1" s="17" t="inlineStr">
        <is>
          <t>Índice de Simpson (Raça)</t>
        </is>
      </c>
      <c r="D1" s="17" t="inlineStr">
        <is>
          <t>Índice de Shannon (Raça)</t>
        </is>
      </c>
      <c r="E1" s="17" t="inlineStr">
        <is>
          <t>Predominante (Raça)</t>
        </is>
      </c>
    </row>
    <row r="2">
      <c r="A2">
        <f>UNIQUE(TBL_DADOS[Tipo_Contrato])</f>
        <v/>
      </c>
      <c r="B2">
        <f>IF(A2="","",ROWS(FILTER(TBL_DADOS[raca], TBL_DADOS[Tipo_Contrato]=A2)))</f>
        <v/>
      </c>
      <c r="C2">
        <f>IF(A2="","",LET(arr,FILTER(TBL_DADOS[raca],TBL_DADOS[Tipo_Contrato]=A2),u,UNIQUE(arr),p,COUNTIF(arr,u)/ROWS(arr),1-SUMPRODUCT(p^2)))</f>
        <v/>
      </c>
      <c r="D2">
        <f>IF(A2="","",LET(arr,FILTER(TBL_DADOS[raca],TBL_DADOS[Tipo_Contrato]=A2),u,UNIQUE(arr),p,COUNTIF(arr,u)/ROWS(arr),pp,FILTER(p,p&gt;0),-SUMPRODUCT(pp*LN(pp))))</f>
        <v/>
      </c>
      <c r="E2">
        <f>IF(A2="","",LET(arr,FILTER(TBL_DADOS[raca],TBL_DADOS[Tipo_Contrato]=A2),u,UNIQUE(arr),c,COUNTIF(arr,u),INDEX(SORTBY(u,c,-1),1)))</f>
        <v/>
      </c>
    </row>
  </sheetData>
  <conditionalFormatting sqref="A2:E2000">
    <cfRule type="expression" priority="1" dxfId="19">
      <formula>=$C2&lt;0.6</formula>
    </cfRule>
    <cfRule type="expression" priority="2" dxfId="20">
      <formula>=AND($C2&gt;=0.6,$C2&lt;0.8)</formula>
    </cfRule>
    <cfRule type="expression" priority="3" dxfId="21">
      <formula>=$C2&gt;=0.8</formula>
    </cfRule>
  </conditionalFormatting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E2"/>
  <sheetViews>
    <sheetView workbookViewId="0">
      <selection activeCell="A1" sqref="A1"/>
    </sheetView>
  </sheetViews>
  <sheetFormatPr baseColWidth="8" defaultRowHeight="15"/>
  <sheetData>
    <row r="1">
      <c r="A1" s="17" t="inlineStr">
        <is>
          <t>Categoria</t>
        </is>
      </c>
      <c r="B1" s="17" t="inlineStr">
        <is>
          <t>Total</t>
        </is>
      </c>
      <c r="C1" s="17" t="inlineStr">
        <is>
          <t>Índice de Simpson (Gênero)</t>
        </is>
      </c>
      <c r="D1" s="17" t="inlineStr">
        <is>
          <t>Índice de Shannon (Gênero)</t>
        </is>
      </c>
      <c r="E1" s="17" t="inlineStr">
        <is>
          <t>Predominante (Gênero)</t>
        </is>
      </c>
    </row>
    <row r="2">
      <c r="A2">
        <f>UNIQUE(TBL_DADOS[lider])</f>
        <v/>
      </c>
      <c r="B2">
        <f>IF(A2="","",ROWS(FILTER(TBL_DADOS[Gênero], TBL_DADOS[lider]=A2)))</f>
        <v/>
      </c>
      <c r="C2">
        <f>IF(A2="","",LET(arr,FILTER(TBL_DADOS[Gênero],TBL_DADOS[lider]=A2),u,UNIQUE(arr),p,COUNTIF(arr,u)/ROWS(arr),1-SUMPRODUCT(p^2)))</f>
        <v/>
      </c>
      <c r="D2">
        <f>IF(A2="","",LET(arr,FILTER(TBL_DADOS[Gênero],TBL_DADOS[lider]=A2),u,UNIQUE(arr),p,COUNTIF(arr,u)/ROWS(arr),pp,FILTER(p,p&gt;0),-SUMPRODUCT(pp*LN(pp))))</f>
        <v/>
      </c>
      <c r="E2">
        <f>IF(A2="","",LET(arr,FILTER(TBL_DADOS[Gênero],TBL_DADOS[lider]=A2),u,UNIQUE(arr),c,COUNTIF(arr,u),INDEX(SORTBY(u,c,-1),1)))</f>
        <v/>
      </c>
    </row>
  </sheetData>
  <conditionalFormatting sqref="A2:E2000">
    <cfRule type="expression" priority="1" dxfId="19">
      <formula>=$C2&lt;0.6</formula>
    </cfRule>
    <cfRule type="expression" priority="2" dxfId="20">
      <formula>=AND($C2&gt;=0.6,$C2&lt;0.8)</formula>
    </cfRule>
    <cfRule type="expression" priority="3" dxfId="21">
      <formula>=$C2&gt;=0.8</formula>
    </cfRule>
  </conditionalFormatting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E2"/>
  <sheetViews>
    <sheetView workbookViewId="0">
      <selection activeCell="A1" sqref="A1"/>
    </sheetView>
  </sheetViews>
  <sheetFormatPr baseColWidth="8" defaultRowHeight="15"/>
  <sheetData>
    <row r="1">
      <c r="A1" s="17" t="inlineStr">
        <is>
          <t>Categoria</t>
        </is>
      </c>
      <c r="B1" s="17" t="inlineStr">
        <is>
          <t>Total</t>
        </is>
      </c>
      <c r="C1" s="17" t="inlineStr">
        <is>
          <t>Índice de Simpson (Raça)</t>
        </is>
      </c>
      <c r="D1" s="17" t="inlineStr">
        <is>
          <t>Índice de Shannon (Raça)</t>
        </is>
      </c>
      <c r="E1" s="17" t="inlineStr">
        <is>
          <t>Predominante (Raça)</t>
        </is>
      </c>
    </row>
    <row r="2">
      <c r="A2">
        <f>UNIQUE(TBL_DADOS[lider])</f>
        <v/>
      </c>
      <c r="B2">
        <f>IF(A2="","",ROWS(FILTER(TBL_DADOS[raca], TBL_DADOS[lider]=A2)))</f>
        <v/>
      </c>
      <c r="C2">
        <f>IF(A2="","",LET(arr,FILTER(TBL_DADOS[raca],TBL_DADOS[lider]=A2),u,UNIQUE(arr),p,COUNTIF(arr,u)/ROWS(arr),1-SUMPRODUCT(p^2)))</f>
        <v/>
      </c>
      <c r="D2">
        <f>IF(A2="","",LET(arr,FILTER(TBL_DADOS[raca],TBL_DADOS[lider]=A2),u,UNIQUE(arr),p,COUNTIF(arr,u)/ROWS(arr),pp,FILTER(p,p&gt;0),-SUMPRODUCT(pp*LN(pp))))</f>
        <v/>
      </c>
      <c r="E2">
        <f>IF(A2="","",LET(arr,FILTER(TBL_DADOS[raca],TBL_DADOS[lider]=A2),u,UNIQUE(arr),c,COUNTIF(arr,u),INDEX(SORTBY(u,c,-1),1)))</f>
        <v/>
      </c>
    </row>
  </sheetData>
  <conditionalFormatting sqref="A2:E2000">
    <cfRule type="expression" priority="1" dxfId="19">
      <formula>=$C2&lt;0.6</formula>
    </cfRule>
    <cfRule type="expression" priority="2" dxfId="20">
      <formula>=AND($C2&gt;=0.6,$C2&lt;0.8)</formula>
    </cfRule>
    <cfRule type="expression" priority="3" dxfId="21">
      <formula>=$C2&gt;=0.8</formula>
    </cfRule>
  </conditionalFormatting>
  <pageMargins left="0.75" right="0.75" top="1" bottom="1" header="0.5" footer="0.5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A1" sqref="A1"/>
    </sheetView>
  </sheetViews>
  <sheetFormatPr baseColWidth="8" defaultRowHeight="15"/>
  <sheetData>
    <row r="1">
      <c r="A1" s="17" t="inlineStr">
        <is>
          <t>Variável</t>
        </is>
      </c>
      <c r="B1" s="17" t="inlineStr">
        <is>
          <t>Categorias (Qtd)</t>
        </is>
      </c>
      <c r="C1" s="17" t="inlineStr">
        <is>
          <t>Total (registros)</t>
        </is>
      </c>
      <c r="D1" s="17" t="inlineStr">
        <is>
          <t>Índice de Simpson (Gênero) — média ponderada</t>
        </is>
      </c>
      <c r="E1" s="17" t="inlineStr">
        <is>
          <t>Baixa (&lt;0,6)</t>
        </is>
      </c>
      <c r="F1" s="17" t="inlineStr">
        <is>
          <t>Moderada (0,6–&lt;0,8)</t>
        </is>
      </c>
      <c r="G1" s="17" t="inlineStr">
        <is>
          <t>Alta (&gt;=0,8)</t>
        </is>
      </c>
      <c r="H1" s="17" t="inlineStr">
        <is>
          <t>Sinal</t>
        </is>
      </c>
    </row>
    <row r="2">
      <c r="A2" t="inlineStr">
        <is>
          <t>Cargo</t>
        </is>
      </c>
      <c r="B2">
        <f>IFERROR(COUNTA(FILTER('3A_XL_GENERO_Cargo'!A2:A1048576,'3A_XL_GENERO_Cargo'!A2:A1048576&lt;&gt;"")),0)</f>
        <v/>
      </c>
      <c r="C2">
        <f>IFERROR(SUM(FILTER('3A_XL_GENERO_Cargo'!B2:B1048576,'3A_XL_GENERO_Cargo'!A2:A1048576&lt;&gt;"")),0)</f>
        <v/>
      </c>
      <c r="D2">
        <f>IFERROR(SUMPRODUCT(FILTER('3A_XL_GENERO_Cargo'!C2:C1048576,'3A_XL_GENERO_Cargo'!A2:A1048576&lt;&gt;""),FILTER('3A_XL_GENERO_Cargo'!B2:B1048576,'3A_XL_GENERO_Cargo'!A2:A1048576&lt;&gt;""))/SUM(FILTER('3A_XL_GENERO_Cargo'!B2:B1048576,'3A_XL_GENERO_Cargo'!A2:A1048576&lt;&gt;"")),"")</f>
        <v/>
      </c>
      <c r="E2">
        <f>LET(c,FILTER('3A_XL_GENERO_Cargo'!C2:C1048576,'3A_XL_GENERO_Cargo'!A2:A1048576&lt;&gt;""),IF(c="",0,SUMPRODUCT(--(c&lt;0.6))))</f>
        <v/>
      </c>
      <c r="F2">
        <f>LET(c,FILTER('3A_XL_GENERO_Cargo'!C2:C1048576,'3A_XL_GENERO_Cargo'!A2:A1048576&lt;&gt;""),IF(c="",0,SUMPRODUCT(--(c&gt;=0.6),--(c&lt;0.8))))</f>
        <v/>
      </c>
      <c r="G2">
        <f>LET(c,FILTER('3A_XL_GENERO_Cargo'!C2:C1048576,'3A_XL_GENERO_Cargo'!A2:A1048576&lt;&gt;""),IF(c="",0,SUMPRODUCT(--(c&gt;=0.8))))</f>
        <v/>
      </c>
      <c r="H2">
        <f>IF(D2&lt;0.6,"🔴",IF(D2&lt;0.8,"🟡","🟢"))</f>
        <v/>
      </c>
    </row>
    <row r="3">
      <c r="A3" t="inlineStr">
        <is>
          <t>Departamento</t>
        </is>
      </c>
      <c r="B3">
        <f>IFERROR(COUNTA(FILTER('3A_XL_GENERO_Departamento'!A2:A1048576,'3A_XL_GENERO_Departamento'!A2:A1048576&lt;&gt;"")),0)</f>
        <v/>
      </c>
      <c r="C3">
        <f>IFERROR(SUM(FILTER('3A_XL_GENERO_Departamento'!B2:B1048576,'3A_XL_GENERO_Departamento'!A2:A1048576&lt;&gt;"")),0)</f>
        <v/>
      </c>
      <c r="D3">
        <f>IFERROR(SUMPRODUCT(FILTER('3A_XL_GENERO_Departamento'!C2:C1048576,'3A_XL_GENERO_Departamento'!A2:A1048576&lt;&gt;""),FILTER('3A_XL_GENERO_Departamento'!B2:B1048576,'3A_XL_GENERO_Departamento'!A2:A1048576&lt;&gt;""))/SUM(FILTER('3A_XL_GENERO_Departamento'!B2:B1048576,'3A_XL_GENERO_Departamento'!A2:A1048576&lt;&gt;"")),"")</f>
        <v/>
      </c>
      <c r="E3">
        <f>LET(c,FILTER('3A_XL_GENERO_Departamento'!C2:C1048576,'3A_XL_GENERO_Departamento'!A2:A1048576&lt;&gt;""),IF(c="",0,SUMPRODUCT(--(c&lt;0.6))))</f>
        <v/>
      </c>
      <c r="F3">
        <f>LET(c,FILTER('3A_XL_GENERO_Departamento'!C2:C1048576,'3A_XL_GENERO_Departamento'!A2:A1048576&lt;&gt;""),IF(c="",0,SUMPRODUCT(--(c&gt;=0.6),--(c&lt;0.8))))</f>
        <v/>
      </c>
      <c r="G3">
        <f>LET(c,FILTER('3A_XL_GENERO_Departamento'!C2:C1048576,'3A_XL_GENERO_Departamento'!A2:A1048576&lt;&gt;""),IF(c="",0,SUMPRODUCT(--(c&gt;=0.8))))</f>
        <v/>
      </c>
      <c r="H3">
        <f>IF(D3&lt;0.6,"🔴",IF(D3&lt;0.8,"🟡","🟢"))</f>
        <v/>
      </c>
    </row>
    <row r="4">
      <c r="A4" t="inlineStr">
        <is>
          <t>Instrução</t>
        </is>
      </c>
      <c r="B4">
        <f>IFERROR(COUNTA(FILTER('3A_XL_GENERO_Instrução'!A2:A1048576,'3A_XL_GENERO_Instrução'!A2:A1048576&lt;&gt;"")),0)</f>
        <v/>
      </c>
      <c r="C4">
        <f>IFERROR(SUM(FILTER('3A_XL_GENERO_Instrução'!B2:B1048576,'3A_XL_GENERO_Instrução'!A2:A1048576&lt;&gt;"")),0)</f>
        <v/>
      </c>
      <c r="D4">
        <f>IFERROR(SUMPRODUCT(FILTER('3A_XL_GENERO_Instrução'!C2:C1048576,'3A_XL_GENERO_Instrução'!A2:A1048576&lt;&gt;""),FILTER('3A_XL_GENERO_Instrução'!B2:B1048576,'3A_XL_GENERO_Instrução'!A2:A1048576&lt;&gt;""))/SUM(FILTER('3A_XL_GENERO_Instrução'!B2:B1048576,'3A_XL_GENERO_Instrução'!A2:A1048576&lt;&gt;"")),"")</f>
        <v/>
      </c>
      <c r="E4">
        <f>LET(c,FILTER('3A_XL_GENERO_Instrução'!C2:C1048576,'3A_XL_GENERO_Instrução'!A2:A1048576&lt;&gt;""),IF(c="",0,SUMPRODUCT(--(c&lt;0.6))))</f>
        <v/>
      </c>
      <c r="F4">
        <f>LET(c,FILTER('3A_XL_GENERO_Instrução'!C2:C1048576,'3A_XL_GENERO_Instrução'!A2:A1048576&lt;&gt;""),IF(c="",0,SUMPRODUCT(--(c&gt;=0.6),--(c&lt;0.8))))</f>
        <v/>
      </c>
      <c r="G4">
        <f>LET(c,FILTER('3A_XL_GENERO_Instrução'!C2:C1048576,'3A_XL_GENERO_Instrução'!A2:A1048576&lt;&gt;""),IF(c="",0,SUMPRODUCT(--(c&gt;=0.8))))</f>
        <v/>
      </c>
      <c r="H4">
        <f>IF(D4&lt;0.6,"🔴",IF(D4&lt;0.8,"🟡","🟢"))</f>
        <v/>
      </c>
    </row>
    <row r="5">
      <c r="A5" t="inlineStr">
        <is>
          <t>Tipo_Contrato</t>
        </is>
      </c>
      <c r="B5">
        <f>IFERROR(COUNTA(FILTER('3A_XL_GENERO_Tipo_Contrato'!A2:A1048576,'3A_XL_GENERO_Tipo_Contrato'!A2:A1048576&lt;&gt;"")),0)</f>
        <v/>
      </c>
      <c r="C5">
        <f>IFERROR(SUM(FILTER('3A_XL_GENERO_Tipo_Contrato'!B2:B1048576,'3A_XL_GENERO_Tipo_Contrato'!A2:A1048576&lt;&gt;"")),0)</f>
        <v/>
      </c>
      <c r="D5">
        <f>IFERROR(SUMPRODUCT(FILTER('3A_XL_GENERO_Tipo_Contrato'!C2:C1048576,'3A_XL_GENERO_Tipo_Contrato'!A2:A1048576&lt;&gt;""),FILTER('3A_XL_GENERO_Tipo_Contrato'!B2:B1048576,'3A_XL_GENERO_Tipo_Contrato'!A2:A1048576&lt;&gt;""))/SUM(FILTER('3A_XL_GENERO_Tipo_Contrato'!B2:B1048576,'3A_XL_GENERO_Tipo_Contrato'!A2:A1048576&lt;&gt;"")),"")</f>
        <v/>
      </c>
      <c r="E5">
        <f>LET(c,FILTER('3A_XL_GENERO_Tipo_Contrato'!C2:C1048576,'3A_XL_GENERO_Tipo_Contrato'!A2:A1048576&lt;&gt;""),IF(c="",0,SUMPRODUCT(--(c&lt;0.6))))</f>
        <v/>
      </c>
      <c r="F5">
        <f>LET(c,FILTER('3A_XL_GENERO_Tipo_Contrato'!C2:C1048576,'3A_XL_GENERO_Tipo_Contrato'!A2:A1048576&lt;&gt;""),IF(c="",0,SUMPRODUCT(--(c&gt;=0.6),--(c&lt;0.8))))</f>
        <v/>
      </c>
      <c r="G5">
        <f>LET(c,FILTER('3A_XL_GENERO_Tipo_Contrato'!C2:C1048576,'3A_XL_GENERO_Tipo_Contrato'!A2:A1048576&lt;&gt;""),IF(c="",0,SUMPRODUCT(--(c&gt;=0.8))))</f>
        <v/>
      </c>
      <c r="H5">
        <f>IF(D5&lt;0.6,"🔴",IF(D5&lt;0.8,"🟡","🟢"))</f>
        <v/>
      </c>
    </row>
    <row r="6">
      <c r="A6" t="inlineStr">
        <is>
          <t>lider</t>
        </is>
      </c>
      <c r="B6">
        <f>IFERROR(COUNTA(FILTER('3A_XL_GENERO_lider'!A2:A1048576,'3A_XL_GENERO_lider'!A2:A1048576&lt;&gt;"")),0)</f>
        <v/>
      </c>
      <c r="C6">
        <f>IFERROR(SUM(FILTER('3A_XL_GENERO_lider'!B2:B1048576,'3A_XL_GENERO_lider'!A2:A1048576&lt;&gt;"")),0)</f>
        <v/>
      </c>
      <c r="D6">
        <f>IFERROR(SUMPRODUCT(FILTER('3A_XL_GENERO_lider'!C2:C1048576,'3A_XL_GENERO_lider'!A2:A1048576&lt;&gt;""),FILTER('3A_XL_GENERO_lider'!B2:B1048576,'3A_XL_GENERO_lider'!A2:A1048576&lt;&gt;""))/SUM(FILTER('3A_XL_GENERO_lider'!B2:B1048576,'3A_XL_GENERO_lider'!A2:A1048576&lt;&gt;"")),"")</f>
        <v/>
      </c>
      <c r="E6">
        <f>LET(c,FILTER('3A_XL_GENERO_lider'!C2:C1048576,'3A_XL_GENERO_lider'!A2:A1048576&lt;&gt;""),IF(c="",0,SUMPRODUCT(--(c&lt;0.6))))</f>
        <v/>
      </c>
      <c r="F6">
        <f>LET(c,FILTER('3A_XL_GENERO_lider'!C2:C1048576,'3A_XL_GENERO_lider'!A2:A1048576&lt;&gt;""),IF(c="",0,SUMPRODUCT(--(c&gt;=0.6),--(c&lt;0.8))))</f>
        <v/>
      </c>
      <c r="G6">
        <f>LET(c,FILTER('3A_XL_GENERO_lider'!C2:C1048576,'3A_XL_GENERO_lider'!A2:A1048576&lt;&gt;""),IF(c="",0,SUMPRODUCT(--(c&gt;=0.8))))</f>
        <v/>
      </c>
      <c r="H6">
        <f>IF(D6&lt;0.6,"🔴",IF(D6&lt;0.8,"🟡","🟢"))</f>
        <v/>
      </c>
    </row>
  </sheetData>
  <conditionalFormatting sqref="A2:H2000">
    <cfRule type="expression" priority="1" dxfId="19">
      <formula>=$D2&lt;0.6</formula>
    </cfRule>
    <cfRule type="expression" priority="2" dxfId="20">
      <formula>=AND($D2&gt;=0.6,$D2&lt;0.8)</formula>
    </cfRule>
    <cfRule type="expression" priority="3" dxfId="21">
      <formula>=$D2&gt;=0.8</formula>
    </cfRule>
  </conditionalFormatting>
  <pageMargins left="0.75" right="0.75" top="1" bottom="1" header="0.5" footer="0.5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A1" sqref="A1"/>
    </sheetView>
  </sheetViews>
  <sheetFormatPr baseColWidth="8" defaultRowHeight="15"/>
  <sheetData>
    <row r="1">
      <c r="A1" s="17" t="inlineStr">
        <is>
          <t>Variável</t>
        </is>
      </c>
      <c r="B1" s="17" t="inlineStr">
        <is>
          <t>Categorias (Qtd)</t>
        </is>
      </c>
      <c r="C1" s="17" t="inlineStr">
        <is>
          <t>Total (registros)</t>
        </is>
      </c>
      <c r="D1" s="17" t="inlineStr">
        <is>
          <t>Índice de Simpson (Raça) — média ponderada</t>
        </is>
      </c>
      <c r="E1" s="17" t="inlineStr">
        <is>
          <t>Baixa (&lt;0,6)</t>
        </is>
      </c>
      <c r="F1" s="17" t="inlineStr">
        <is>
          <t>Moderada (0,6–&lt;0,8)</t>
        </is>
      </c>
      <c r="G1" s="17" t="inlineStr">
        <is>
          <t>Alta (&gt;=0,8)</t>
        </is>
      </c>
      <c r="H1" s="17" t="inlineStr">
        <is>
          <t>Sinal</t>
        </is>
      </c>
    </row>
    <row r="2">
      <c r="A2" t="inlineStr">
        <is>
          <t>Cargo</t>
        </is>
      </c>
      <c r="B2">
        <f>IFERROR(COUNTA(FILTER('3C_XL_RACA_Cargo'!A2:A1048576,'3C_XL_RACA_Cargo'!A2:A1048576&lt;&gt;"")),0)</f>
        <v/>
      </c>
      <c r="C2">
        <f>IFERROR(SUM(FILTER('3C_XL_RACA_Cargo'!B2:B1048576,'3C_XL_RACA_Cargo'!A2:A1048576&lt;&gt;"")),0)</f>
        <v/>
      </c>
      <c r="D2">
        <f>IFERROR(SUMPRODUCT(FILTER('3C_XL_RACA_Cargo'!C2:C1048576,'3C_XL_RACA_Cargo'!A2:A1048576&lt;&gt;""),FILTER('3C_XL_RACA_Cargo'!B2:B1048576,'3C_XL_RACA_Cargo'!A2:A1048576&lt;&gt;""))/SUM(FILTER('3C_XL_RACA_Cargo'!B2:B1048576,'3C_XL_RACA_Cargo'!A2:A1048576&lt;&gt;"")),"")</f>
        <v/>
      </c>
      <c r="E2">
        <f>LET(c,FILTER('3C_XL_RACA_Cargo'!C2:C1048576,'3C_XL_RACA_Cargo'!A2:A1048576&lt;&gt;""),IF(c="",0,SUMPRODUCT(--(c&lt;0.6))))</f>
        <v/>
      </c>
      <c r="F2">
        <f>LET(c,FILTER('3C_XL_RACA_Cargo'!C2:C1048576,'3C_XL_RACA_Cargo'!A2:A1048576&lt;&gt;""),IF(c="",0,SUMPRODUCT(--(c&gt;=0.6),--(c&lt;0.8))))</f>
        <v/>
      </c>
      <c r="G2">
        <f>LET(c,FILTER('3C_XL_RACA_Cargo'!C2:C1048576,'3C_XL_RACA_Cargo'!A2:A1048576&lt;&gt;""),IF(c="",0,SUMPRODUCT(--(c&gt;=0.8))))</f>
        <v/>
      </c>
      <c r="H2">
        <f>IF(D2&lt;0.6,"🔴",IF(D2&lt;0.8,"🟡","🟢"))</f>
        <v/>
      </c>
    </row>
    <row r="3">
      <c r="A3" t="inlineStr">
        <is>
          <t>Departamento</t>
        </is>
      </c>
      <c r="B3">
        <f>IFERROR(COUNTA(FILTER('3C_XL_RACA_Departamento'!A2:A1048576,'3C_XL_RACA_Departamento'!A2:A1048576&lt;&gt;"")),0)</f>
        <v/>
      </c>
      <c r="C3">
        <f>IFERROR(SUM(FILTER('3C_XL_RACA_Departamento'!B2:B1048576,'3C_XL_RACA_Departamento'!A2:A1048576&lt;&gt;"")),0)</f>
        <v/>
      </c>
      <c r="D3">
        <f>IFERROR(SUMPRODUCT(FILTER('3C_XL_RACA_Departamento'!C2:C1048576,'3C_XL_RACA_Departamento'!A2:A1048576&lt;&gt;""),FILTER('3C_XL_RACA_Departamento'!B2:B1048576,'3C_XL_RACA_Departamento'!A2:A1048576&lt;&gt;""))/SUM(FILTER('3C_XL_RACA_Departamento'!B2:B1048576,'3C_XL_RACA_Departamento'!A2:A1048576&lt;&gt;"")),"")</f>
        <v/>
      </c>
      <c r="E3">
        <f>LET(c,FILTER('3C_XL_RACA_Departamento'!C2:C1048576,'3C_XL_RACA_Departamento'!A2:A1048576&lt;&gt;""),IF(c="",0,SUMPRODUCT(--(c&lt;0.6))))</f>
        <v/>
      </c>
      <c r="F3">
        <f>LET(c,FILTER('3C_XL_RACA_Departamento'!C2:C1048576,'3C_XL_RACA_Departamento'!A2:A1048576&lt;&gt;""),IF(c="",0,SUMPRODUCT(--(c&gt;=0.6),--(c&lt;0.8))))</f>
        <v/>
      </c>
      <c r="G3">
        <f>LET(c,FILTER('3C_XL_RACA_Departamento'!C2:C1048576,'3C_XL_RACA_Departamento'!A2:A1048576&lt;&gt;""),IF(c="",0,SUMPRODUCT(--(c&gt;=0.8))))</f>
        <v/>
      </c>
      <c r="H3">
        <f>IF(D3&lt;0.6,"🔴",IF(D3&lt;0.8,"🟡","🟢"))</f>
        <v/>
      </c>
    </row>
    <row r="4">
      <c r="A4" t="inlineStr">
        <is>
          <t>Instrução</t>
        </is>
      </c>
      <c r="B4">
        <f>IFERROR(COUNTA(FILTER('3C_XL_RACA_Instrução'!A2:A1048576,'3C_XL_RACA_Instrução'!A2:A1048576&lt;&gt;"")),0)</f>
        <v/>
      </c>
      <c r="C4">
        <f>IFERROR(SUM(FILTER('3C_XL_RACA_Instrução'!B2:B1048576,'3C_XL_RACA_Instrução'!A2:A1048576&lt;&gt;"")),0)</f>
        <v/>
      </c>
      <c r="D4">
        <f>IFERROR(SUMPRODUCT(FILTER('3C_XL_RACA_Instrução'!C2:C1048576,'3C_XL_RACA_Instrução'!A2:A1048576&lt;&gt;""),FILTER('3C_XL_RACA_Instrução'!B2:B1048576,'3C_XL_RACA_Instrução'!A2:A1048576&lt;&gt;""))/SUM(FILTER('3C_XL_RACA_Instrução'!B2:B1048576,'3C_XL_RACA_Instrução'!A2:A1048576&lt;&gt;"")),"")</f>
        <v/>
      </c>
      <c r="E4">
        <f>LET(c,FILTER('3C_XL_RACA_Instrução'!C2:C1048576,'3C_XL_RACA_Instrução'!A2:A1048576&lt;&gt;""),IF(c="",0,SUMPRODUCT(--(c&lt;0.6))))</f>
        <v/>
      </c>
      <c r="F4">
        <f>LET(c,FILTER('3C_XL_RACA_Instrução'!C2:C1048576,'3C_XL_RACA_Instrução'!A2:A1048576&lt;&gt;""),IF(c="",0,SUMPRODUCT(--(c&gt;=0.6),--(c&lt;0.8))))</f>
        <v/>
      </c>
      <c r="G4">
        <f>LET(c,FILTER('3C_XL_RACA_Instrução'!C2:C1048576,'3C_XL_RACA_Instrução'!A2:A1048576&lt;&gt;""),IF(c="",0,SUMPRODUCT(--(c&gt;=0.8))))</f>
        <v/>
      </c>
      <c r="H4">
        <f>IF(D4&lt;0.6,"🔴",IF(D4&lt;0.8,"🟡","🟢"))</f>
        <v/>
      </c>
    </row>
    <row r="5">
      <c r="A5" t="inlineStr">
        <is>
          <t>Tipo_Contrato</t>
        </is>
      </c>
      <c r="B5">
        <f>IFERROR(COUNTA(FILTER('3C_XL_RACA_Tipo_Contrato'!A2:A1048576,'3C_XL_RACA_Tipo_Contrato'!A2:A1048576&lt;&gt;"")),0)</f>
        <v/>
      </c>
      <c r="C5">
        <f>IFERROR(SUM(FILTER('3C_XL_RACA_Tipo_Contrato'!B2:B1048576,'3C_XL_RACA_Tipo_Contrato'!A2:A1048576&lt;&gt;"")),0)</f>
        <v/>
      </c>
      <c r="D5">
        <f>IFERROR(SUMPRODUCT(FILTER('3C_XL_RACA_Tipo_Contrato'!C2:C1048576,'3C_XL_RACA_Tipo_Contrato'!A2:A1048576&lt;&gt;""),FILTER('3C_XL_RACA_Tipo_Contrato'!B2:B1048576,'3C_XL_RACA_Tipo_Contrato'!A2:A1048576&lt;&gt;""))/SUM(FILTER('3C_XL_RACA_Tipo_Contrato'!B2:B1048576,'3C_XL_RACA_Tipo_Contrato'!A2:A1048576&lt;&gt;"")),"")</f>
        <v/>
      </c>
      <c r="E5">
        <f>LET(c,FILTER('3C_XL_RACA_Tipo_Contrato'!C2:C1048576,'3C_XL_RACA_Tipo_Contrato'!A2:A1048576&lt;&gt;""),IF(c="",0,SUMPRODUCT(--(c&lt;0.6))))</f>
        <v/>
      </c>
      <c r="F5">
        <f>LET(c,FILTER('3C_XL_RACA_Tipo_Contrato'!C2:C1048576,'3C_XL_RACA_Tipo_Contrato'!A2:A1048576&lt;&gt;""),IF(c="",0,SUMPRODUCT(--(c&gt;=0.6),--(c&lt;0.8))))</f>
        <v/>
      </c>
      <c r="G5">
        <f>LET(c,FILTER('3C_XL_RACA_Tipo_Contrato'!C2:C1048576,'3C_XL_RACA_Tipo_Contrato'!A2:A1048576&lt;&gt;""),IF(c="",0,SUMPRODUCT(--(c&gt;=0.8))))</f>
        <v/>
      </c>
      <c r="H5">
        <f>IF(D5&lt;0.6,"🔴",IF(D5&lt;0.8,"🟡","🟢"))</f>
        <v/>
      </c>
    </row>
    <row r="6">
      <c r="A6" t="inlineStr">
        <is>
          <t>lider</t>
        </is>
      </c>
      <c r="B6">
        <f>IFERROR(COUNTA(FILTER('3C_XL_RACA_lider'!A2:A1048576,'3C_XL_RACA_lider'!A2:A1048576&lt;&gt;"")),0)</f>
        <v/>
      </c>
      <c r="C6">
        <f>IFERROR(SUM(FILTER('3C_XL_RACA_lider'!B2:B1048576,'3C_XL_RACA_lider'!A2:A1048576&lt;&gt;"")),0)</f>
        <v/>
      </c>
      <c r="D6">
        <f>IFERROR(SUMPRODUCT(FILTER('3C_XL_RACA_lider'!C2:C1048576,'3C_XL_RACA_lider'!A2:A1048576&lt;&gt;""),FILTER('3C_XL_RACA_lider'!B2:B1048576,'3C_XL_RACA_lider'!A2:A1048576&lt;&gt;""))/SUM(FILTER('3C_XL_RACA_lider'!B2:B1048576,'3C_XL_RACA_lider'!A2:A1048576&lt;&gt;"")),"")</f>
        <v/>
      </c>
      <c r="E6">
        <f>LET(c,FILTER('3C_XL_RACA_lider'!C2:C1048576,'3C_XL_RACA_lider'!A2:A1048576&lt;&gt;""),IF(c="",0,SUMPRODUCT(--(c&lt;0.6))))</f>
        <v/>
      </c>
      <c r="F6">
        <f>LET(c,FILTER('3C_XL_RACA_lider'!C2:C1048576,'3C_XL_RACA_lider'!A2:A1048576&lt;&gt;""),IF(c="",0,SUMPRODUCT(--(c&gt;=0.6),--(c&lt;0.8))))</f>
        <v/>
      </c>
      <c r="G6">
        <f>LET(c,FILTER('3C_XL_RACA_lider'!C2:C1048576,'3C_XL_RACA_lider'!A2:A1048576&lt;&gt;""),IF(c="",0,SUMPRODUCT(--(c&gt;=0.8))))</f>
        <v/>
      </c>
      <c r="H6">
        <f>IF(D6&lt;0.6,"🔴",IF(D6&lt;0.8,"🟡","🟢"))</f>
        <v/>
      </c>
    </row>
  </sheetData>
  <conditionalFormatting sqref="A2:H2000">
    <cfRule type="expression" priority="1" dxfId="19">
      <formula>=$D2&lt;0.6</formula>
    </cfRule>
    <cfRule type="expression" priority="2" dxfId="20">
      <formula>=AND($D2&gt;=0.6,$D2&lt;0.8)</formula>
    </cfRule>
    <cfRule type="expression" priority="3" dxfId="21">
      <formula>=$D2&gt;=0.8</formula>
    </cfRule>
  </conditionalFormatting>
  <pageMargins left="0.75" right="0.75" top="1" bottom="1" header="0.5" footer="0.5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A201"/>
  <sheetViews>
    <sheetView workbookViewId="0">
      <selection activeCell="A1" sqref="A1"/>
    </sheetView>
  </sheetViews>
  <sheetFormatPr baseColWidth="8" defaultRowHeight="15"/>
  <sheetData>
    <row r="1">
      <c r="A1" s="18" t="inlineStr">
        <is>
          <t>Visualizações (Excel-only)</t>
        </is>
      </c>
    </row>
    <row r="3">
      <c r="A3" s="17" t="inlineStr">
        <is>
          <t>Cargo — Gênero</t>
        </is>
      </c>
    </row>
    <row r="25">
      <c r="A25" s="17" t="inlineStr">
        <is>
          <t>Cargo — Raça</t>
        </is>
      </c>
    </row>
    <row r="47">
      <c r="A47" s="17" t="inlineStr">
        <is>
          <t>Departamento — Gênero</t>
        </is>
      </c>
    </row>
    <row r="69">
      <c r="A69" s="17" t="inlineStr">
        <is>
          <t>Departamento — Raça</t>
        </is>
      </c>
    </row>
    <row r="91">
      <c r="A91" s="17" t="inlineStr">
        <is>
          <t>Instrução — Gênero</t>
        </is>
      </c>
    </row>
    <row r="113">
      <c r="A113" s="17" t="inlineStr">
        <is>
          <t>Instrução — Raça</t>
        </is>
      </c>
    </row>
    <row r="135">
      <c r="A135" s="17" t="inlineStr">
        <is>
          <t>Tipo_Contrato — Gênero</t>
        </is>
      </c>
    </row>
    <row r="157">
      <c r="A157" s="17" t="inlineStr">
        <is>
          <t>Tipo_Contrato — Raça</t>
        </is>
      </c>
    </row>
    <row r="179">
      <c r="A179" s="17" t="inlineStr">
        <is>
          <t>lider — Gênero</t>
        </is>
      </c>
    </row>
    <row r="201">
      <c r="A201" s="17" t="inlineStr">
        <is>
          <t>lider — Raça</t>
        </is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2025-09-08T12:51:43Z</dcterms:created>
  <dcterms:modified xmlns:dcterms="http://purl.org/dc/terms/" xmlns:xsi="http://www.w3.org/2001/XMLSchema-instance" xsi:type="dcterms:W3CDTF">2025-09-09T21:14:46Z</dcterms:modified>
  <cp:lastModifiedBy>Tadeu Teixeira</cp:lastModifiedBy>
</cp:coreProperties>
</file>